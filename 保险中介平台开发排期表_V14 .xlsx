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040" windowHeight="12620" tabRatio="865" firstSheet="16" activeTab="20"/>
  </bookViews>
  <sheets>
    <sheet name="V14变更说明" sheetId="1" r:id="rId1"/>
    <sheet name="概览" sheetId="2" r:id="rId2"/>
    <sheet name="架构风险工时评估" sheetId="3" r:id="rId3"/>
    <sheet name="阶段0-C端基础建设与存量数据导入" sheetId="4" r:id="rId4"/>
    <sheet name="阶段1-业务员App-车险报价" sheetId="5" r:id="rId5"/>
    <sheet name="阶段1-PC管理后台-基础建设" sheetId="6" r:id="rId6"/>
    <sheet name="阶段1-PC管理后台-车险业务" sheetId="7" r:id="rId7"/>
    <sheet name="阶段2-业务员App-非车险展业" sheetId="8" r:id="rId8"/>
    <sheet name="阶段2-PC管理后台-佣金系统" sheetId="9" r:id="rId9"/>
    <sheet name="阶段2-PC管理后台-非车险业务" sheetId="10" r:id="rId10"/>
    <sheet name="阶段2-PC管理后台-客户CRM" sheetId="11" r:id="rId11"/>
    <sheet name="阶段3-C端商城（消费者前台）" sheetId="12" r:id="rId12"/>
    <sheet name="阶段3-PC管理后台-营销管理" sheetId="13" r:id="rId13"/>
    <sheet name="阶段3-业务员App-营销工具" sheetId="14" r:id="rId14"/>
    <sheet name="阶段4-AI智能中台" sheetId="15" r:id="rId15"/>
    <sheet name="阶段5-合规双录" sheetId="16" r:id="rId16"/>
    <sheet name="阶段6-财务中台" sheetId="17" r:id="rId17"/>
    <sheet name="阶段7-PC管理后台-寿险体系" sheetId="18" r:id="rId18"/>
    <sheet name="阶段8-业务员App-寿险展业" sheetId="19" r:id="rId19"/>
    <sheet name="阶段8-C端商城-寿险投保" sheetId="20" r:id="rId20"/>
    <sheet name="阶段6-财务中台-合格结算补充"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<sst xmlns="http://schemas.openxmlformats.org/spreadsheetml/2006/main" count="2989" uniqueCount="1995">
  <si>
    <r>
      <rPr>
        <b/>
        <sz val="14"/>
        <color rgb="FFFFFFFF"/>
        <rFont val="Noto Sans CJK SC"/>
        <charset val="134"/>
      </rPr>
      <t xml:space="preserve">保险中介平台开发排期表 </t>
    </r>
    <r>
      <rPr>
        <b/>
        <sz val="14"/>
        <color rgb="FFFFFFFF"/>
        <rFont val="Arial"/>
        <charset val="1"/>
      </rPr>
      <t xml:space="preserve">V14 </t>
    </r>
    <r>
      <rPr>
        <b/>
        <sz val="14"/>
        <color rgb="FFFFFFFF"/>
        <rFont val="Noto Sans CJK SC"/>
        <charset val="134"/>
      </rPr>
      <t>变更说明</t>
    </r>
  </si>
  <si>
    <r>
      <rPr>
        <sz val="10"/>
        <color rgb="FFFFFFFF"/>
        <rFont val="Noto Sans CJK SC"/>
        <charset val="134"/>
      </rPr>
      <t>制表日期：</t>
    </r>
    <r>
      <rPr>
        <sz val="10"/>
        <color rgb="FFFFFFFF"/>
        <rFont val="Arial"/>
        <charset val="1"/>
      </rPr>
      <t xml:space="preserve">2026-02-28    </t>
    </r>
    <r>
      <rPr>
        <sz val="10"/>
        <color rgb="FFFFFFFF"/>
        <rFont val="Noto Sans CJK SC"/>
        <charset val="134"/>
      </rPr>
      <t>基于版本：</t>
    </r>
    <r>
      <rPr>
        <sz val="10"/>
        <color rgb="FFFFFFFF"/>
        <rFont val="Arial"/>
        <charset val="1"/>
      </rPr>
      <t xml:space="preserve">V13    </t>
    </r>
    <r>
      <rPr>
        <sz val="10"/>
        <color rgb="FFFFFFFF"/>
        <rFont val="Noto Sans CJK SC"/>
        <charset val="134"/>
      </rPr>
      <t>变更类型：</t>
    </r>
    <r>
      <rPr>
        <sz val="10"/>
        <color rgb="FFFFFFFF"/>
        <rFont val="Arial"/>
        <charset val="1"/>
      </rPr>
      <t>C</t>
    </r>
    <r>
      <rPr>
        <sz val="10"/>
        <color rgb="FFFFFFFF"/>
        <rFont val="Noto Sans CJK SC"/>
        <charset val="134"/>
      </rPr>
      <t xml:space="preserve">端功能新增 </t>
    </r>
    <r>
      <rPr>
        <sz val="10"/>
        <color rgb="FFFFFFFF"/>
        <rFont val="Arial"/>
        <charset val="1"/>
      </rPr>
      <t xml:space="preserve">+ </t>
    </r>
    <r>
      <rPr>
        <sz val="10"/>
        <color rgb="FFFFFFFF"/>
        <rFont val="Noto Sans CJK SC"/>
        <charset val="134"/>
      </rPr>
      <t>架构割裂问题修复</t>
    </r>
  </si>
  <si>
    <t>变更分类</t>
  </si>
  <si>
    <r>
      <rPr>
        <b/>
        <sz val="10"/>
        <color rgb="FFFFFFFF"/>
        <rFont val="Arial"/>
        <charset val="1"/>
      </rPr>
      <t>Sheet</t>
    </r>
    <r>
      <rPr>
        <b/>
        <sz val="10"/>
        <color rgb="FFFFFFFF"/>
        <rFont val="Noto Sans CJK SC"/>
        <charset val="134"/>
      </rPr>
      <t>名称</t>
    </r>
  </si>
  <si>
    <t>变更内容摘要</t>
  </si>
  <si>
    <r>
      <rPr>
        <b/>
        <sz val="10"/>
        <color rgb="FFFFFFFF"/>
        <rFont val="Noto Sans CJK SC"/>
        <charset val="134"/>
      </rPr>
      <t>前端变化</t>
    </r>
    <r>
      <rPr>
        <b/>
        <sz val="10"/>
        <color rgb="FFFFFFFF"/>
        <rFont val="Arial"/>
        <charset val="1"/>
      </rPr>
      <t>(</t>
    </r>
    <r>
      <rPr>
        <b/>
        <sz val="10"/>
        <color rgb="FFFFFFFF"/>
        <rFont val="Noto Sans CJK SC"/>
        <charset val="134"/>
      </rPr>
      <t>天</t>
    </r>
    <r>
      <rPr>
        <b/>
        <sz val="10"/>
        <color rgb="FFFFFFFF"/>
        <rFont val="Arial"/>
        <charset val="1"/>
      </rPr>
      <t>)</t>
    </r>
  </si>
  <si>
    <r>
      <rPr>
        <b/>
        <sz val="10"/>
        <color rgb="FFFFFFFF"/>
        <rFont val="Noto Sans CJK SC"/>
        <charset val="134"/>
      </rPr>
      <t>后端变化</t>
    </r>
    <r>
      <rPr>
        <b/>
        <sz val="10"/>
        <color rgb="FFFFFFFF"/>
        <rFont val="Arial"/>
        <charset val="1"/>
      </rPr>
      <t>(</t>
    </r>
    <r>
      <rPr>
        <b/>
        <sz val="10"/>
        <color rgb="FFFFFFFF"/>
        <rFont val="Noto Sans CJK SC"/>
        <charset val="134"/>
      </rPr>
      <t>天</t>
    </r>
    <r>
      <rPr>
        <b/>
        <sz val="10"/>
        <color rgb="FFFFFFFF"/>
        <rFont val="Arial"/>
        <charset val="1"/>
      </rPr>
      <t>)</t>
    </r>
  </si>
  <si>
    <r>
      <rPr>
        <b/>
        <sz val="10"/>
        <color rgb="FFFFFFFF"/>
        <rFont val="Noto Sans CJK SC"/>
        <charset val="134"/>
      </rPr>
      <t>合计变化</t>
    </r>
    <r>
      <rPr>
        <b/>
        <sz val="10"/>
        <color rgb="FFFFFFFF"/>
        <rFont val="Arial"/>
        <charset val="1"/>
      </rPr>
      <t>(</t>
    </r>
    <r>
      <rPr>
        <b/>
        <sz val="10"/>
        <color rgb="FFFFFFFF"/>
        <rFont val="Noto Sans CJK SC"/>
        <charset val="134"/>
      </rPr>
      <t>天</t>
    </r>
    <r>
      <rPr>
        <b/>
        <sz val="10"/>
        <color rgb="FFFFFFFF"/>
        <rFont val="Arial"/>
        <charset val="1"/>
      </rPr>
      <t>)</t>
    </r>
  </si>
  <si>
    <r>
      <rPr>
        <b/>
        <sz val="9"/>
        <color rgb="FF000000"/>
        <rFont val="Arial"/>
        <charset val="1"/>
      </rPr>
      <t>C</t>
    </r>
    <r>
      <rPr>
        <b/>
        <sz val="9"/>
        <color rgb="FF000000"/>
        <rFont val="Noto Sans CJK SC"/>
        <charset val="134"/>
      </rPr>
      <t>端功能新增</t>
    </r>
  </si>
  <si>
    <r>
      <rPr>
        <sz val="11"/>
        <color theme="1"/>
        <rFont val="Noto Sans CJK SC"/>
        <charset val="134"/>
      </rPr>
      <t>阶段</t>
    </r>
    <r>
      <rPr>
        <sz val="11"/>
        <color theme="1"/>
        <rFont val="宋体"/>
        <charset val="134"/>
      </rPr>
      <t>1-</t>
    </r>
    <r>
      <rPr>
        <sz val="11"/>
        <color theme="1"/>
        <rFont val="Noto Sans CJK SC"/>
        <charset val="134"/>
      </rPr>
      <t>业务员</t>
    </r>
    <r>
      <rPr>
        <sz val="11"/>
        <color theme="1"/>
        <rFont val="宋体"/>
        <charset val="134"/>
      </rPr>
      <t>App-</t>
    </r>
    <r>
      <rPr>
        <sz val="11"/>
        <color theme="1"/>
        <rFont val="Noto Sans CJK SC"/>
        <charset val="134"/>
      </rPr>
      <t>车险报价</t>
    </r>
  </si>
  <si>
    <r>
      <rPr>
        <sz val="11"/>
        <color theme="1"/>
        <rFont val="Noto Sans CJK SC"/>
        <charset val="134"/>
      </rPr>
      <t>新增</t>
    </r>
    <r>
      <rPr>
        <sz val="11"/>
        <color theme="1"/>
        <rFont val="宋体"/>
        <charset val="134"/>
      </rPr>
      <t>9</t>
    </r>
    <r>
      <rPr>
        <sz val="11"/>
        <color theme="1"/>
        <rFont val="Noto Sans CJK SC"/>
        <charset val="134"/>
      </rPr>
      <t>个功能：事故定损拍照</t>
    </r>
    <r>
      <rPr>
        <sz val="11"/>
        <color theme="1"/>
        <rFont val="宋体"/>
        <charset val="134"/>
      </rPr>
      <t>/</t>
    </r>
    <r>
      <rPr>
        <sz val="11"/>
        <color theme="1"/>
        <rFont val="Noto Sans CJK SC"/>
        <charset val="134"/>
      </rPr>
      <t>续保</t>
    </r>
    <r>
      <rPr>
        <sz val="11"/>
        <color theme="1"/>
        <rFont val="宋体"/>
        <charset val="134"/>
      </rPr>
      <t>Widget/</t>
    </r>
    <r>
      <rPr>
        <sz val="11"/>
        <color theme="1"/>
        <rFont val="Noto Sans CJK SC"/>
        <charset val="134"/>
      </rPr>
      <t>停售预警</t>
    </r>
    <r>
      <rPr>
        <sz val="11"/>
        <color theme="1"/>
        <rFont val="宋体"/>
        <charset val="134"/>
      </rPr>
      <t>/NCD</t>
    </r>
    <r>
      <rPr>
        <sz val="11"/>
        <color theme="1"/>
        <rFont val="Noto Sans CJK SC"/>
        <charset val="134"/>
      </rPr>
      <t>计算器</t>
    </r>
    <r>
      <rPr>
        <sz val="11"/>
        <color theme="1"/>
        <rFont val="宋体"/>
        <charset val="134"/>
      </rPr>
      <t>/</t>
    </r>
    <r>
      <rPr>
        <sz val="11"/>
        <color theme="1"/>
        <rFont val="Noto Sans CJK SC"/>
        <charset val="134"/>
      </rPr>
      <t>电子卡单</t>
    </r>
    <r>
      <rPr>
        <sz val="11"/>
        <color theme="1"/>
        <rFont val="宋体"/>
        <charset val="134"/>
      </rPr>
      <t>/</t>
    </r>
    <r>
      <rPr>
        <sz val="11"/>
        <color theme="1"/>
        <rFont val="Noto Sans CJK SC"/>
        <charset val="134"/>
      </rPr>
      <t>日历视图</t>
    </r>
    <r>
      <rPr>
        <sz val="11"/>
        <color theme="1"/>
        <rFont val="宋体"/>
        <charset val="134"/>
      </rPr>
      <t>/</t>
    </r>
    <r>
      <rPr>
        <sz val="11"/>
        <color theme="1"/>
        <rFont val="Noto Sans CJK SC"/>
        <charset val="134"/>
      </rPr>
      <t>验车提醒（</t>
    </r>
    <r>
      <rPr>
        <sz val="11"/>
        <color theme="1"/>
        <rFont val="宋体"/>
        <charset val="134"/>
      </rPr>
      <t>9</t>
    </r>
    <r>
      <rPr>
        <sz val="11"/>
        <color theme="1"/>
        <rFont val="Noto Sans CJK SC"/>
        <charset val="134"/>
      </rPr>
      <t>个功能点）</t>
    </r>
  </si>
  <si>
    <t>+5.5</t>
  </si>
  <si>
    <t>+4.5</t>
  </si>
  <si>
    <t>+10</t>
  </si>
  <si>
    <r>
      <rPr>
        <sz val="11"/>
        <color theme="1"/>
        <rFont val="Noto Sans CJK SC"/>
        <charset val="134"/>
      </rPr>
      <t>阶段</t>
    </r>
    <r>
      <rPr>
        <sz val="11"/>
        <color theme="1"/>
        <rFont val="宋体"/>
        <charset val="134"/>
      </rPr>
      <t>3-C</t>
    </r>
    <r>
      <rPr>
        <sz val="11"/>
        <color theme="1"/>
        <rFont val="Noto Sans CJK SC"/>
        <charset val="134"/>
      </rPr>
      <t>端商城（消费者前台）</t>
    </r>
  </si>
  <si>
    <r>
      <rPr>
        <sz val="11"/>
        <color theme="1"/>
        <rFont val="Noto Sans CJK SC"/>
        <charset val="134"/>
      </rPr>
      <t>新增</t>
    </r>
    <r>
      <rPr>
        <sz val="11"/>
        <color theme="1"/>
        <rFont val="宋体"/>
        <charset val="134"/>
      </rPr>
      <t>13</t>
    </r>
    <r>
      <rPr>
        <sz val="11"/>
        <color theme="1"/>
        <rFont val="Noto Sans CJK SC"/>
        <charset val="134"/>
      </rPr>
      <t>个功能：保险测评</t>
    </r>
    <r>
      <rPr>
        <sz val="11"/>
        <color theme="1"/>
        <rFont val="宋体"/>
        <charset val="134"/>
      </rPr>
      <t>/</t>
    </r>
    <r>
      <rPr>
        <sz val="11"/>
        <color theme="1"/>
        <rFont val="Noto Sans CJK SC"/>
        <charset val="134"/>
      </rPr>
      <t>雷达测评</t>
    </r>
    <r>
      <rPr>
        <sz val="11"/>
        <color theme="1"/>
        <rFont val="宋体"/>
        <charset val="134"/>
      </rPr>
      <t>/</t>
    </r>
    <r>
      <rPr>
        <sz val="11"/>
        <color theme="1"/>
        <rFont val="Noto Sans CJK SC"/>
        <charset val="134"/>
      </rPr>
      <t>拼团购险</t>
    </r>
    <r>
      <rPr>
        <sz val="11"/>
        <color theme="1"/>
        <rFont val="宋体"/>
        <charset val="134"/>
      </rPr>
      <t>/</t>
    </r>
    <r>
      <rPr>
        <sz val="11"/>
        <color theme="1"/>
        <rFont val="Noto Sans CJK SC"/>
        <charset val="134"/>
      </rPr>
      <t>限时秒杀</t>
    </r>
    <r>
      <rPr>
        <sz val="11"/>
        <color theme="1"/>
        <rFont val="宋体"/>
        <charset val="134"/>
      </rPr>
      <t>/</t>
    </r>
    <r>
      <rPr>
        <sz val="11"/>
        <color theme="1"/>
        <rFont val="Noto Sans CJK SC"/>
        <charset val="134"/>
      </rPr>
      <t>邀请裂变</t>
    </r>
    <r>
      <rPr>
        <sz val="11"/>
        <color theme="1"/>
        <rFont val="宋体"/>
        <charset val="134"/>
      </rPr>
      <t>/</t>
    </r>
    <r>
      <rPr>
        <sz val="11"/>
        <color theme="1"/>
        <rFont val="Noto Sans CJK SC"/>
        <charset val="134"/>
      </rPr>
      <t>证件夹</t>
    </r>
    <r>
      <rPr>
        <sz val="11"/>
        <color theme="1"/>
        <rFont val="宋体"/>
        <charset val="134"/>
      </rPr>
      <t>/</t>
    </r>
    <r>
      <rPr>
        <sz val="11"/>
        <color theme="1"/>
        <rFont val="Noto Sans CJK SC"/>
        <charset val="134"/>
      </rPr>
      <t>消息中心</t>
    </r>
    <r>
      <rPr>
        <sz val="11"/>
        <color theme="1"/>
        <rFont val="宋体"/>
        <charset val="134"/>
      </rPr>
      <t>/</t>
    </r>
    <r>
      <rPr>
        <sz val="11"/>
        <color theme="1"/>
        <rFont val="Noto Sans CJK SC"/>
        <charset val="134"/>
      </rPr>
      <t>续保提醒</t>
    </r>
    <r>
      <rPr>
        <sz val="11"/>
        <color theme="1"/>
        <rFont val="宋体"/>
        <charset val="134"/>
      </rPr>
      <t>/</t>
    </r>
    <r>
      <rPr>
        <sz val="11"/>
        <color theme="1"/>
        <rFont val="Noto Sans CJK SC"/>
        <charset val="134"/>
      </rPr>
      <t>积分商城</t>
    </r>
    <r>
      <rPr>
        <sz val="11"/>
        <color theme="1"/>
        <rFont val="宋体"/>
        <charset val="134"/>
      </rPr>
      <t>/</t>
    </r>
    <r>
      <rPr>
        <sz val="11"/>
        <color theme="1"/>
        <rFont val="Noto Sans CJK SC"/>
        <charset val="134"/>
      </rPr>
      <t>违章查询</t>
    </r>
    <r>
      <rPr>
        <sz val="11"/>
        <color theme="1"/>
        <rFont val="宋体"/>
        <charset val="134"/>
      </rPr>
      <t>/</t>
    </r>
    <r>
      <rPr>
        <sz val="11"/>
        <color theme="1"/>
        <rFont val="Noto Sans CJK SC"/>
        <charset val="134"/>
      </rPr>
      <t>道路救援</t>
    </r>
    <r>
      <rPr>
        <sz val="11"/>
        <color theme="1"/>
        <rFont val="宋体"/>
        <charset val="134"/>
      </rPr>
      <t>/OBD</t>
    </r>
    <r>
      <rPr>
        <sz val="11"/>
        <color theme="1"/>
        <rFont val="Noto Sans CJK SC"/>
        <charset val="134"/>
      </rPr>
      <t>评分</t>
    </r>
  </si>
  <si>
    <t>+19.5</t>
  </si>
  <si>
    <t>+14</t>
  </si>
  <si>
    <t>+33.5</t>
  </si>
  <si>
    <r>
      <rPr>
        <sz val="11"/>
        <color theme="1"/>
        <rFont val="Noto Sans CJK SC"/>
        <charset val="134"/>
      </rPr>
      <t>阶段</t>
    </r>
    <r>
      <rPr>
        <sz val="11"/>
        <color theme="1"/>
        <rFont val="宋体"/>
        <charset val="134"/>
      </rPr>
      <t>8-C</t>
    </r>
    <r>
      <rPr>
        <sz val="11"/>
        <color theme="1"/>
        <rFont val="Noto Sans CJK SC"/>
        <charset val="134"/>
      </rPr>
      <t>端商城</t>
    </r>
    <r>
      <rPr>
        <sz val="11"/>
        <color theme="1"/>
        <rFont val="宋体"/>
        <charset val="134"/>
      </rPr>
      <t>-</t>
    </r>
    <r>
      <rPr>
        <sz val="11"/>
        <color theme="1"/>
        <rFont val="Noto Sans CJK SC"/>
        <charset val="134"/>
      </rPr>
      <t>寿险投保</t>
    </r>
  </si>
  <si>
    <r>
      <rPr>
        <sz val="11"/>
        <color theme="1"/>
        <rFont val="Noto Sans CJK SC"/>
        <charset val="134"/>
      </rPr>
      <t>新增</t>
    </r>
    <r>
      <rPr>
        <sz val="11"/>
        <color theme="1"/>
        <rFont val="宋体"/>
        <charset val="134"/>
      </rPr>
      <t>10</t>
    </r>
    <r>
      <rPr>
        <sz val="11"/>
        <color theme="1"/>
        <rFont val="Noto Sans CJK SC"/>
        <charset val="134"/>
      </rPr>
      <t>个功能：智能需求诊断</t>
    </r>
    <r>
      <rPr>
        <sz val="11"/>
        <color theme="1"/>
        <rFont val="宋体"/>
        <charset val="134"/>
      </rPr>
      <t>/</t>
    </r>
    <r>
      <rPr>
        <sz val="11"/>
        <color theme="1"/>
        <rFont val="Noto Sans CJK SC"/>
        <charset val="134"/>
      </rPr>
      <t>费率试算</t>
    </r>
    <r>
      <rPr>
        <sz val="11"/>
        <color theme="1"/>
        <rFont val="宋体"/>
        <charset val="134"/>
      </rPr>
      <t>/</t>
    </r>
    <r>
      <rPr>
        <sz val="11"/>
        <color theme="1"/>
        <rFont val="Noto Sans CJK SC"/>
        <charset val="134"/>
      </rPr>
      <t>产品对比</t>
    </r>
    <r>
      <rPr>
        <sz val="11"/>
        <color theme="1"/>
        <rFont val="宋体"/>
        <charset val="134"/>
      </rPr>
      <t>/</t>
    </r>
    <r>
      <rPr>
        <sz val="11"/>
        <color theme="1"/>
        <rFont val="Noto Sans CJK SC"/>
        <charset val="134"/>
      </rPr>
      <t>投保预检</t>
    </r>
    <r>
      <rPr>
        <sz val="11"/>
        <color theme="1"/>
        <rFont val="宋体"/>
        <charset val="134"/>
      </rPr>
      <t>/</t>
    </r>
    <r>
      <rPr>
        <sz val="11"/>
        <color theme="1"/>
        <rFont val="Noto Sans CJK SC"/>
        <charset val="134"/>
      </rPr>
      <t>条款</t>
    </r>
    <r>
      <rPr>
        <sz val="11"/>
        <color theme="1"/>
        <rFont val="宋体"/>
        <charset val="134"/>
      </rPr>
      <t>AI</t>
    </r>
    <r>
      <rPr>
        <sz val="11"/>
        <color theme="1"/>
        <rFont val="Noto Sans CJK SC"/>
        <charset val="134"/>
      </rPr>
      <t>解读</t>
    </r>
    <r>
      <rPr>
        <sz val="11"/>
        <color theme="1"/>
        <rFont val="宋体"/>
        <charset val="134"/>
      </rPr>
      <t>/</t>
    </r>
    <r>
      <rPr>
        <sz val="11"/>
        <color theme="1"/>
        <rFont val="Noto Sans CJK SC"/>
        <charset val="134"/>
      </rPr>
      <t>投保进度</t>
    </r>
    <r>
      <rPr>
        <sz val="11"/>
        <color theme="1"/>
        <rFont val="宋体"/>
        <charset val="134"/>
      </rPr>
      <t>/</t>
    </r>
    <r>
      <rPr>
        <sz val="11"/>
        <color theme="1"/>
        <rFont val="Noto Sans CJK SC"/>
        <charset val="134"/>
      </rPr>
      <t>指定顾问</t>
    </r>
    <r>
      <rPr>
        <sz val="11"/>
        <color theme="1"/>
        <rFont val="宋体"/>
        <charset val="134"/>
      </rPr>
      <t>/</t>
    </r>
    <r>
      <rPr>
        <sz val="11"/>
        <color theme="1"/>
        <rFont val="Noto Sans CJK SC"/>
        <charset val="134"/>
      </rPr>
      <t>年检提醒</t>
    </r>
    <r>
      <rPr>
        <sz val="11"/>
        <color theme="1"/>
        <rFont val="宋体"/>
        <charset val="134"/>
      </rPr>
      <t>/</t>
    </r>
    <r>
      <rPr>
        <sz val="11"/>
        <color theme="1"/>
        <rFont val="Noto Sans CJK SC"/>
        <charset val="134"/>
      </rPr>
      <t>重疾绿通</t>
    </r>
    <r>
      <rPr>
        <sz val="11"/>
        <color theme="1"/>
        <rFont val="宋体"/>
        <charset val="134"/>
      </rPr>
      <t>/</t>
    </r>
    <r>
      <rPr>
        <sz val="11"/>
        <color theme="1"/>
        <rFont val="Noto Sans CJK SC"/>
        <charset val="134"/>
      </rPr>
      <t>保单贷款</t>
    </r>
  </si>
  <si>
    <t>+12</t>
  </si>
  <si>
    <t>+6.5</t>
  </si>
  <si>
    <t>+18.5</t>
  </si>
  <si>
    <r>
      <rPr>
        <b/>
        <sz val="9"/>
        <color rgb="FF000000"/>
        <rFont val="Noto Sans CJK SC"/>
        <charset val="134"/>
      </rPr>
      <t>架构修复</t>
    </r>
    <r>
      <rPr>
        <b/>
        <sz val="9"/>
        <color rgb="FF000000"/>
        <rFont val="Arial"/>
        <charset val="1"/>
      </rPr>
      <t>(</t>
    </r>
    <r>
      <rPr>
        <b/>
        <sz val="9"/>
        <color rgb="FF000000"/>
        <rFont val="Noto Sans CJK SC"/>
        <charset val="134"/>
      </rPr>
      <t>新发现</t>
    </r>
    <r>
      <rPr>
        <b/>
        <sz val="9"/>
        <color rgb="FF000000"/>
        <rFont val="Arial"/>
        <charset val="1"/>
      </rPr>
      <t>)</t>
    </r>
  </si>
  <si>
    <r>
      <rPr>
        <sz val="11"/>
        <color theme="1"/>
        <rFont val="Noto Sans CJK SC"/>
        <charset val="134"/>
      </rPr>
      <t>架构风险工时评估（新增</t>
    </r>
    <r>
      <rPr>
        <sz val="11"/>
        <color theme="1"/>
        <rFont val="宋体"/>
        <charset val="134"/>
      </rPr>
      <t>#4-#17</t>
    </r>
    <r>
      <rPr>
        <sz val="11"/>
        <color theme="1"/>
        <rFont val="Noto Sans CJK SC"/>
        <charset val="134"/>
      </rPr>
      <t>）</t>
    </r>
  </si>
  <si>
    <r>
      <rPr>
        <sz val="11"/>
        <color theme="1"/>
        <rFont val="Noto Sans CJK SC"/>
        <charset val="134"/>
      </rPr>
      <t>问题四：统一问卷引擎</t>
    </r>
    <r>
      <rPr>
        <sz val="11"/>
        <color theme="1"/>
        <rFont val="宋体"/>
        <charset val="134"/>
      </rPr>
      <t>ins-questionnaire-service</t>
    </r>
    <r>
      <rPr>
        <sz val="11"/>
        <color theme="1"/>
        <rFont val="Noto Sans CJK SC"/>
        <charset val="134"/>
      </rPr>
      <t>（替换两套独立实现，净节省</t>
    </r>
    <r>
      <rPr>
        <sz val="11"/>
        <color theme="1"/>
        <rFont val="宋体"/>
        <charset val="134"/>
      </rPr>
      <t>1-2</t>
    </r>
    <r>
      <rPr>
        <sz val="11"/>
        <color theme="1"/>
        <rFont val="Noto Sans CJK SC"/>
        <charset val="134"/>
      </rPr>
      <t>天）</t>
    </r>
  </si>
  <si>
    <t>+2.5</t>
  </si>
  <si>
    <t>+5</t>
  </si>
  <si>
    <t>+7.5</t>
  </si>
  <si>
    <r>
      <rPr>
        <sz val="11"/>
        <color theme="1"/>
        <rFont val="Noto Sans CJK SC"/>
        <charset val="134"/>
      </rPr>
      <t>架构风险工时评估（新增</t>
    </r>
    <r>
      <rPr>
        <sz val="11"/>
        <color theme="1"/>
        <rFont val="宋体"/>
        <charset val="134"/>
      </rPr>
      <t>#9-#12</t>
    </r>
    <r>
      <rPr>
        <sz val="11"/>
        <color theme="1"/>
        <rFont val="Noto Sans CJK SC"/>
        <charset val="134"/>
      </rPr>
      <t>）</t>
    </r>
  </si>
  <si>
    <r>
      <rPr>
        <sz val="11"/>
        <color theme="1"/>
        <rFont val="Noto Sans CJK SC"/>
        <charset val="134"/>
      </rPr>
      <t>问题五：统一保费试算引擎</t>
    </r>
    <r>
      <rPr>
        <sz val="11"/>
        <color theme="1"/>
        <rFont val="宋体"/>
        <charset val="134"/>
      </rPr>
      <t>premium-calculation-service</t>
    </r>
    <r>
      <rPr>
        <sz val="11"/>
        <color theme="1"/>
        <rFont val="Noto Sans CJK SC"/>
        <charset val="134"/>
      </rPr>
      <t>（避免三处重复</t>
    </r>
    <r>
      <rPr>
        <sz val="11"/>
        <color theme="1"/>
        <rFont val="宋体"/>
        <charset val="134"/>
      </rPr>
      <t>Groovy</t>
    </r>
    <r>
      <rPr>
        <sz val="11"/>
        <color theme="1"/>
        <rFont val="Noto Sans CJK SC"/>
        <charset val="134"/>
      </rPr>
      <t>引擎）</t>
    </r>
  </si>
  <si>
    <t>0</t>
  </si>
  <si>
    <t>+4</t>
  </si>
  <si>
    <r>
      <rPr>
        <sz val="11"/>
        <color theme="1"/>
        <rFont val="Noto Sans CJK SC"/>
        <charset val="134"/>
      </rPr>
      <t>架构风险工时评估（新增</t>
    </r>
    <r>
      <rPr>
        <sz val="11"/>
        <color theme="1"/>
        <rFont val="宋体"/>
        <charset val="134"/>
      </rPr>
      <t>#13-#14</t>
    </r>
    <r>
      <rPr>
        <sz val="11"/>
        <color theme="1"/>
        <rFont val="Noto Sans CJK SC"/>
        <charset val="134"/>
      </rPr>
      <t>）</t>
    </r>
  </si>
  <si>
    <r>
      <rPr>
        <sz val="11"/>
        <color theme="1"/>
        <rFont val="Noto Sans CJK SC"/>
        <charset val="134"/>
      </rPr>
      <t>问题六：统一消息中台</t>
    </r>
    <r>
      <rPr>
        <sz val="11"/>
        <color theme="1"/>
        <rFont val="宋体"/>
        <charset val="134"/>
      </rPr>
      <t>message-center-service</t>
    </r>
    <r>
      <rPr>
        <sz val="11"/>
        <color theme="1"/>
        <rFont val="Noto Sans CJK SC"/>
        <charset val="134"/>
      </rPr>
      <t>（统一短信</t>
    </r>
    <r>
      <rPr>
        <sz val="11"/>
        <color theme="1"/>
        <rFont val="宋体"/>
        <charset val="134"/>
      </rPr>
      <t>/Push/</t>
    </r>
    <r>
      <rPr>
        <sz val="11"/>
        <color theme="1"/>
        <rFont val="Noto Sans CJK SC"/>
        <charset val="134"/>
      </rPr>
      <t>微信推送）</t>
    </r>
  </si>
  <si>
    <t>+3</t>
  </si>
  <si>
    <r>
      <rPr>
        <sz val="11"/>
        <color theme="1"/>
        <rFont val="Noto Sans CJK SC"/>
        <charset val="134"/>
      </rPr>
      <t>架构风险工时评估（新增</t>
    </r>
    <r>
      <rPr>
        <sz val="11"/>
        <color theme="1"/>
        <rFont val="宋体"/>
        <charset val="134"/>
      </rPr>
      <t>#15</t>
    </r>
    <r>
      <rPr>
        <sz val="11"/>
        <color theme="1"/>
        <rFont val="Noto Sans CJK SC"/>
        <charset val="134"/>
      </rPr>
      <t>）</t>
    </r>
  </si>
  <si>
    <r>
      <rPr>
        <sz val="11"/>
        <color theme="1"/>
        <rFont val="Noto Sans CJK SC"/>
        <charset val="134"/>
      </rPr>
      <t>问题七：</t>
    </r>
    <r>
      <rPr>
        <sz val="11"/>
        <color theme="1"/>
        <rFont val="宋体"/>
        <charset val="134"/>
      </rPr>
      <t>OSS</t>
    </r>
    <r>
      <rPr>
        <sz val="11"/>
        <color theme="1"/>
        <rFont val="Noto Sans CJK SC"/>
        <charset val="134"/>
      </rPr>
      <t>目录规范约定（复用</t>
    </r>
    <r>
      <rPr>
        <sz val="11"/>
        <color theme="1"/>
        <rFont val="宋体"/>
        <charset val="134"/>
      </rPr>
      <t>yudao-infra</t>
    </r>
    <r>
      <rPr>
        <sz val="11"/>
        <color theme="1"/>
        <rFont val="Noto Sans CJK SC"/>
        <charset val="134"/>
      </rPr>
      <t>，极少工时）</t>
    </r>
  </si>
  <si>
    <t>+0.5</t>
  </si>
  <si>
    <r>
      <rPr>
        <sz val="11"/>
        <color theme="1"/>
        <rFont val="Noto Sans CJK SC"/>
        <charset val="134"/>
      </rPr>
      <t>架构风险工时评估（新增</t>
    </r>
    <r>
      <rPr>
        <sz val="11"/>
        <color theme="1"/>
        <rFont val="宋体"/>
        <charset val="134"/>
      </rPr>
      <t>#16</t>
    </r>
    <r>
      <rPr>
        <sz val="11"/>
        <color theme="1"/>
        <rFont val="Noto Sans CJK SC"/>
        <charset val="134"/>
      </rPr>
      <t>）</t>
    </r>
  </si>
  <si>
    <r>
      <rPr>
        <sz val="11"/>
        <color theme="1"/>
        <rFont val="Noto Sans CJK SC"/>
        <charset val="134"/>
      </rPr>
      <t>问题八：佣金计算</t>
    </r>
    <r>
      <rPr>
        <sz val="11"/>
        <color theme="1"/>
        <rFont val="宋体"/>
        <charset val="134"/>
      </rPr>
      <t>MQ</t>
    </r>
    <r>
      <rPr>
        <sz val="11"/>
        <color theme="1"/>
        <rFont val="Noto Sans CJK SC"/>
        <charset val="134"/>
      </rPr>
      <t>统一触发架构约定（</t>
    </r>
    <r>
      <rPr>
        <sz val="11"/>
        <color theme="1"/>
        <rFont val="宋体"/>
        <charset val="134"/>
      </rPr>
      <t>commission_record</t>
    </r>
    <r>
      <rPr>
        <sz val="11"/>
        <color theme="1"/>
        <rFont val="Noto Sans CJK SC"/>
        <charset val="134"/>
      </rPr>
      <t>全险种统一表设计）</t>
    </r>
  </si>
  <si>
    <t>+1</t>
  </si>
  <si>
    <r>
      <rPr>
        <sz val="11"/>
        <color theme="1"/>
        <rFont val="Noto Sans CJK SC"/>
        <charset val="134"/>
      </rPr>
      <t>架构风险工时评估（新增</t>
    </r>
    <r>
      <rPr>
        <sz val="11"/>
        <color theme="1"/>
        <rFont val="宋体"/>
        <charset val="134"/>
      </rPr>
      <t>#17</t>
    </r>
    <r>
      <rPr>
        <sz val="11"/>
        <color theme="1"/>
        <rFont val="Noto Sans CJK SC"/>
        <charset val="134"/>
      </rPr>
      <t>）</t>
    </r>
  </si>
  <si>
    <t>问题九：续保提醒统一调度（三端分散实现→统一服务，避免重复通知）</t>
  </si>
  <si>
    <t>+1.5</t>
  </si>
  <si>
    <r>
      <rPr>
        <b/>
        <sz val="9"/>
        <color rgb="FF000000"/>
        <rFont val="Noto Sans CJK SC"/>
        <charset val="134"/>
      </rPr>
      <t>架构修复</t>
    </r>
    <r>
      <rPr>
        <b/>
        <sz val="9"/>
        <color rgb="FF000000"/>
        <rFont val="Arial"/>
        <charset val="1"/>
      </rPr>
      <t>(</t>
    </r>
    <r>
      <rPr>
        <b/>
        <sz val="9"/>
        <color rgb="FF000000"/>
        <rFont val="Noto Sans CJK SC"/>
        <charset val="134"/>
      </rPr>
      <t>已有</t>
    </r>
    <r>
      <rPr>
        <b/>
        <sz val="9"/>
        <color rgb="FF000000"/>
        <rFont val="Arial"/>
        <charset val="1"/>
      </rPr>
      <t>)</t>
    </r>
  </si>
  <si>
    <r>
      <rPr>
        <sz val="11"/>
        <color theme="1"/>
        <rFont val="Noto Sans CJK SC"/>
        <charset val="134"/>
      </rPr>
      <t>架构风险工时评估（</t>
    </r>
    <r>
      <rPr>
        <sz val="11"/>
        <color theme="1"/>
        <rFont val="宋体"/>
        <charset val="134"/>
      </rPr>
      <t>#1-#7</t>
    </r>
    <r>
      <rPr>
        <sz val="11"/>
        <color theme="1"/>
        <rFont val="Noto Sans CJK SC"/>
        <charset val="134"/>
      </rPr>
      <t>）</t>
    </r>
  </si>
  <si>
    <r>
      <rPr>
        <sz val="11"/>
        <color theme="1"/>
        <rFont val="Noto Sans CJK SC"/>
        <charset val="134"/>
      </rPr>
      <t>问题一：</t>
    </r>
    <r>
      <rPr>
        <sz val="11"/>
        <color theme="1"/>
        <rFont val="宋体"/>
        <charset val="134"/>
      </rPr>
      <t>health-underwriting-service</t>
    </r>
    <r>
      <rPr>
        <sz val="11"/>
        <color theme="1"/>
        <rFont val="Noto Sans CJK SC"/>
        <charset val="134"/>
      </rPr>
      <t>健康核保公共服务（</t>
    </r>
    <r>
      <rPr>
        <sz val="11"/>
        <color theme="1"/>
        <rFont val="宋体"/>
        <charset val="134"/>
      </rPr>
      <t>V13</t>
    </r>
    <r>
      <rPr>
        <sz val="11"/>
        <color theme="1"/>
        <rFont val="Noto Sans CJK SC"/>
        <charset val="134"/>
      </rPr>
      <t>已有）</t>
    </r>
  </si>
  <si>
    <t>7.5</t>
  </si>
  <si>
    <t>12</t>
  </si>
  <si>
    <t>19.5</t>
  </si>
  <si>
    <r>
      <rPr>
        <sz val="11"/>
        <color theme="1"/>
        <rFont val="Noto Sans CJK SC"/>
        <charset val="134"/>
      </rPr>
      <t>架构风险工时评估（</t>
    </r>
    <r>
      <rPr>
        <sz val="11"/>
        <color theme="1"/>
        <rFont val="宋体"/>
        <charset val="134"/>
      </rPr>
      <t>#8-#12</t>
    </r>
    <r>
      <rPr>
        <sz val="11"/>
        <color theme="1"/>
        <rFont val="Noto Sans CJK SC"/>
        <charset val="134"/>
      </rPr>
      <t>）</t>
    </r>
  </si>
  <si>
    <r>
      <rPr>
        <sz val="11"/>
        <color theme="1"/>
        <rFont val="Noto Sans CJK SC"/>
        <charset val="134"/>
      </rPr>
      <t>问题二：</t>
    </r>
    <r>
      <rPr>
        <sz val="11"/>
        <color theme="1"/>
        <rFont val="宋体"/>
        <charset val="134"/>
      </rPr>
      <t>ins_product</t>
    </r>
    <r>
      <rPr>
        <sz val="11"/>
        <color theme="1"/>
        <rFont val="Noto Sans CJK SC"/>
        <charset val="134"/>
      </rPr>
      <t>产品库统一主子表架构（</t>
    </r>
    <r>
      <rPr>
        <sz val="11"/>
        <color theme="1"/>
        <rFont val="宋体"/>
        <charset val="134"/>
      </rPr>
      <t>V13</t>
    </r>
    <r>
      <rPr>
        <sz val="11"/>
        <color theme="1"/>
        <rFont val="Noto Sans CJK SC"/>
        <charset val="134"/>
      </rPr>
      <t>已有）</t>
    </r>
  </si>
  <si>
    <t>2</t>
  </si>
  <si>
    <t>4.5</t>
  </si>
  <si>
    <t>6.5</t>
  </si>
  <si>
    <r>
      <rPr>
        <sz val="11"/>
        <color theme="1"/>
        <rFont val="Noto Sans CJK SC"/>
        <charset val="134"/>
      </rPr>
      <t>架构风险工时评估（</t>
    </r>
    <r>
      <rPr>
        <sz val="11"/>
        <color theme="1"/>
        <rFont val="宋体"/>
        <charset val="134"/>
      </rPr>
      <t>#13-#18</t>
    </r>
    <r>
      <rPr>
        <sz val="11"/>
        <color theme="1"/>
        <rFont val="Noto Sans CJK SC"/>
        <charset val="134"/>
      </rPr>
      <t>）</t>
    </r>
  </si>
  <si>
    <r>
      <rPr>
        <sz val="11"/>
        <color theme="1"/>
        <rFont val="Noto Sans CJK SC"/>
        <charset val="134"/>
      </rPr>
      <t>问题三：</t>
    </r>
    <r>
      <rPr>
        <sz val="11"/>
        <color theme="1"/>
        <rFont val="宋体"/>
        <charset val="134"/>
      </rPr>
      <t>ins_insured_profile</t>
    </r>
    <r>
      <rPr>
        <sz val="11"/>
        <color theme="1"/>
        <rFont val="Noto Sans CJK SC"/>
        <charset val="134"/>
      </rPr>
      <t>被保人档案管理（</t>
    </r>
    <r>
      <rPr>
        <sz val="11"/>
        <color theme="1"/>
        <rFont val="宋体"/>
        <charset val="134"/>
      </rPr>
      <t>V13</t>
    </r>
    <r>
      <rPr>
        <sz val="11"/>
        <color theme="1"/>
        <rFont val="Noto Sans CJK SC"/>
        <charset val="134"/>
      </rPr>
      <t>已有）</t>
    </r>
  </si>
  <si>
    <t>工时汇总</t>
  </si>
  <si>
    <r>
      <rPr>
        <sz val="11"/>
        <color theme="1"/>
        <rFont val="宋体"/>
        <charset val="134"/>
      </rPr>
      <t>V13</t>
    </r>
    <r>
      <rPr>
        <sz val="11"/>
        <color theme="1"/>
        <rFont val="Noto Sans CJK SC"/>
        <charset val="134"/>
      </rPr>
      <t>原合计</t>
    </r>
  </si>
  <si>
    <r>
      <rPr>
        <sz val="11"/>
        <color theme="1"/>
        <rFont val="宋体"/>
        <charset val="134"/>
      </rPr>
      <t>1181</t>
    </r>
    <r>
      <rPr>
        <sz val="11"/>
        <color theme="1"/>
        <rFont val="Noto Sans CJK SC"/>
        <charset val="134"/>
      </rPr>
      <t>人天（前端</t>
    </r>
    <r>
      <rPr>
        <sz val="11"/>
        <color theme="1"/>
        <rFont val="宋体"/>
        <charset val="134"/>
      </rPr>
      <t xml:space="preserve">601.5 + </t>
    </r>
    <r>
      <rPr>
        <sz val="11"/>
        <color theme="1"/>
        <rFont val="Noto Sans CJK SC"/>
        <charset val="134"/>
      </rPr>
      <t>后端</t>
    </r>
    <r>
      <rPr>
        <sz val="11"/>
        <color theme="1"/>
        <rFont val="宋体"/>
        <charset val="134"/>
      </rPr>
      <t>579.5</t>
    </r>
    <r>
      <rPr>
        <sz val="11"/>
        <color theme="1"/>
        <rFont val="Noto Sans CJK SC"/>
        <charset val="134"/>
      </rPr>
      <t>）</t>
    </r>
  </si>
  <si>
    <t>601.5</t>
  </si>
  <si>
    <t>579.5</t>
  </si>
  <si>
    <t>1181</t>
  </si>
  <si>
    <r>
      <rPr>
        <sz val="11"/>
        <color theme="1"/>
        <rFont val="宋体"/>
        <charset val="134"/>
      </rPr>
      <t>V14</t>
    </r>
    <r>
      <rPr>
        <sz val="11"/>
        <color theme="1"/>
        <rFont val="Noto Sans CJK SC"/>
        <charset val="134"/>
      </rPr>
      <t>新增</t>
    </r>
    <r>
      <rPr>
        <sz val="11"/>
        <color theme="1"/>
        <rFont val="宋体"/>
        <charset val="134"/>
      </rPr>
      <t>C</t>
    </r>
    <r>
      <rPr>
        <sz val="11"/>
        <color theme="1"/>
        <rFont val="Noto Sans CJK SC"/>
        <charset val="134"/>
      </rPr>
      <t>端功能</t>
    </r>
  </si>
  <si>
    <r>
      <rPr>
        <sz val="11"/>
        <color theme="1"/>
        <rFont val="宋体"/>
        <charset val="134"/>
      </rPr>
      <t>+62</t>
    </r>
    <r>
      <rPr>
        <sz val="11"/>
        <color theme="1"/>
        <rFont val="Noto Sans CJK SC"/>
        <charset val="134"/>
      </rPr>
      <t>天（</t>
    </r>
    <r>
      <rPr>
        <sz val="11"/>
        <color theme="1"/>
        <rFont val="宋体"/>
        <charset val="134"/>
      </rPr>
      <t>3</t>
    </r>
    <r>
      <rPr>
        <sz val="11"/>
        <color theme="1"/>
        <rFont val="Noto Sans CJK SC"/>
        <charset val="134"/>
      </rPr>
      <t>个</t>
    </r>
    <r>
      <rPr>
        <sz val="11"/>
        <color theme="1"/>
        <rFont val="宋体"/>
        <charset val="134"/>
      </rPr>
      <t>Sheet</t>
    </r>
    <r>
      <rPr>
        <sz val="11"/>
        <color theme="1"/>
        <rFont val="Noto Sans CJK SC"/>
        <charset val="134"/>
      </rPr>
      <t>合计）</t>
    </r>
  </si>
  <si>
    <t>+37</t>
  </si>
  <si>
    <t>+25</t>
  </si>
  <si>
    <t>+62</t>
  </si>
  <si>
    <r>
      <rPr>
        <sz val="11"/>
        <color theme="1"/>
        <rFont val="宋体"/>
        <charset val="134"/>
      </rPr>
      <t>V14</t>
    </r>
    <r>
      <rPr>
        <sz val="11"/>
        <color theme="1"/>
        <rFont val="Noto Sans CJK SC"/>
        <charset val="134"/>
      </rPr>
      <t>新增架构修复</t>
    </r>
  </si>
  <si>
    <r>
      <rPr>
        <sz val="11"/>
        <color theme="1"/>
        <rFont val="宋体"/>
        <charset val="134"/>
      </rPr>
      <t>+17.5</t>
    </r>
    <r>
      <rPr>
        <sz val="11"/>
        <color theme="1"/>
        <rFont val="Noto Sans CJK SC"/>
        <charset val="134"/>
      </rPr>
      <t>天（问题</t>
    </r>
    <r>
      <rPr>
        <sz val="11"/>
        <color theme="1"/>
        <rFont val="宋体"/>
        <charset val="134"/>
      </rPr>
      <t>4-9</t>
    </r>
    <r>
      <rPr>
        <sz val="11"/>
        <color theme="1"/>
        <rFont val="Noto Sans CJK SC"/>
        <charset val="134"/>
      </rPr>
      <t>，问题</t>
    </r>
    <r>
      <rPr>
        <sz val="11"/>
        <color theme="1"/>
        <rFont val="宋体"/>
        <charset val="134"/>
      </rPr>
      <t>4</t>
    </r>
    <r>
      <rPr>
        <sz val="11"/>
        <color theme="1"/>
        <rFont val="Noto Sans CJK SC"/>
        <charset val="134"/>
      </rPr>
      <t>与原</t>
    </r>
    <r>
      <rPr>
        <sz val="11"/>
        <color theme="1"/>
        <rFont val="宋体"/>
        <charset val="134"/>
      </rPr>
      <t>#2</t>
    </r>
    <r>
      <rPr>
        <sz val="11"/>
        <color theme="1"/>
        <rFont val="Noto Sans CJK SC"/>
        <charset val="134"/>
      </rPr>
      <t>有抵消）</t>
    </r>
  </si>
  <si>
    <t>+15</t>
  </si>
  <si>
    <t>+17.5</t>
  </si>
  <si>
    <r>
      <rPr>
        <sz val="11"/>
        <color theme="1"/>
        <rFont val="宋体"/>
        <charset val="134"/>
      </rPr>
      <t>V14</t>
    </r>
    <r>
      <rPr>
        <sz val="11"/>
        <color theme="1"/>
        <rFont val="Noto Sans CJK SC"/>
        <charset val="134"/>
      </rPr>
      <t>合计</t>
    </r>
  </si>
  <si>
    <r>
      <rPr>
        <sz val="11"/>
        <color theme="1"/>
        <rFont val="宋体"/>
        <charset val="134"/>
      </rPr>
      <t>1260.5</t>
    </r>
    <r>
      <rPr>
        <sz val="11"/>
        <color theme="1"/>
        <rFont val="Noto Sans CJK SC"/>
        <charset val="134"/>
      </rPr>
      <t>人天（约</t>
    </r>
    <r>
      <rPr>
        <sz val="11"/>
        <color theme="1"/>
        <rFont val="宋体"/>
        <charset val="134"/>
      </rPr>
      <t>126</t>
    </r>
    <r>
      <rPr>
        <sz val="11"/>
        <color theme="1"/>
        <rFont val="Noto Sans CJK SC"/>
        <charset val="134"/>
      </rPr>
      <t>周</t>
    </r>
    <r>
      <rPr>
        <sz val="11"/>
        <color theme="1"/>
        <rFont val="宋体"/>
        <charset val="134"/>
      </rPr>
      <t>/</t>
    </r>
    <r>
      <rPr>
        <sz val="11"/>
        <color theme="1"/>
        <rFont val="Noto Sans CJK SC"/>
        <charset val="134"/>
      </rPr>
      <t>团队实际工期</t>
    </r>
    <r>
      <rPr>
        <sz val="11"/>
        <color theme="1"/>
        <rFont val="宋体"/>
        <charset val="134"/>
      </rPr>
      <t>×1.3</t>
    </r>
    <r>
      <rPr>
        <sz val="11"/>
        <color theme="1"/>
        <rFont val="Noto Sans CJK SC"/>
        <charset val="134"/>
      </rPr>
      <t>系数）</t>
    </r>
  </si>
  <si>
    <t>641</t>
  </si>
  <si>
    <t>619.5</t>
  </si>
  <si>
    <t>1260.5</t>
  </si>
  <si>
    <t>关键依赖关系</t>
  </si>
  <si>
    <r>
      <rPr>
        <sz val="11"/>
        <color theme="1"/>
        <rFont val="Noto Sans CJK SC"/>
        <charset val="134"/>
      </rPr>
      <t>阶段</t>
    </r>
    <r>
      <rPr>
        <sz val="11"/>
        <color theme="1"/>
        <rFont val="宋体"/>
        <charset val="134"/>
      </rPr>
      <t>2</t>
    </r>
    <r>
      <rPr>
        <sz val="11"/>
        <color theme="1"/>
        <rFont val="Noto Sans CJK SC"/>
        <charset val="134"/>
      </rPr>
      <t>启动前必须完成</t>
    </r>
  </si>
  <si>
    <r>
      <rPr>
        <sz val="11"/>
        <color theme="1"/>
        <rFont val="宋体"/>
        <charset val="134"/>
      </rPr>
      <t>ins-questionnaire-service</t>
    </r>
    <r>
      <rPr>
        <sz val="11"/>
        <color theme="1"/>
        <rFont val="Noto Sans CJK SC"/>
        <charset val="134"/>
      </rPr>
      <t>骨架上线；</t>
    </r>
    <r>
      <rPr>
        <sz val="11"/>
        <color theme="1"/>
        <rFont val="宋体"/>
        <charset val="134"/>
      </rPr>
      <t>premium-calculation-service</t>
    </r>
    <r>
      <rPr>
        <sz val="11"/>
        <color theme="1"/>
        <rFont val="Noto Sans CJK SC"/>
        <charset val="134"/>
      </rPr>
      <t>骨架上线；</t>
    </r>
    <r>
      <rPr>
        <sz val="11"/>
        <color theme="1"/>
        <rFont val="宋体"/>
        <charset val="134"/>
      </rPr>
      <t>message-center-service</t>
    </r>
    <r>
      <rPr>
        <sz val="11"/>
        <color theme="1"/>
        <rFont val="Noto Sans CJK SC"/>
        <charset val="134"/>
      </rPr>
      <t>可用；</t>
    </r>
    <r>
      <rPr>
        <sz val="11"/>
        <color theme="1"/>
        <rFont val="宋体"/>
        <charset val="134"/>
      </rPr>
      <t>health-underwriting-service</t>
    </r>
    <r>
      <rPr>
        <sz val="11"/>
        <color theme="1"/>
        <rFont val="Noto Sans CJK SC"/>
        <charset val="134"/>
      </rPr>
      <t>任务</t>
    </r>
    <r>
      <rPr>
        <sz val="11"/>
        <color theme="1"/>
        <rFont val="宋体"/>
        <charset val="134"/>
      </rPr>
      <t>#1#4#5</t>
    </r>
    <r>
      <rPr>
        <sz val="11"/>
        <color theme="1"/>
        <rFont val="Noto Sans CJK SC"/>
        <charset val="134"/>
      </rPr>
      <t>完成</t>
    </r>
  </si>
  <si>
    <r>
      <rPr>
        <sz val="11"/>
        <color theme="1"/>
        <rFont val="Noto Sans CJK SC"/>
        <charset val="134"/>
      </rPr>
      <t>阶段</t>
    </r>
    <r>
      <rPr>
        <sz val="11"/>
        <color theme="1"/>
        <rFont val="宋体"/>
        <charset val="134"/>
      </rPr>
      <t>4</t>
    </r>
    <r>
      <rPr>
        <sz val="11"/>
        <color theme="1"/>
        <rFont val="Noto Sans CJK SC"/>
        <charset val="134"/>
      </rPr>
      <t>启动前</t>
    </r>
  </si>
  <si>
    <r>
      <rPr>
        <sz val="11"/>
        <color theme="1"/>
        <rFont val="宋体"/>
        <charset val="134"/>
      </rPr>
      <t>AI</t>
    </r>
    <r>
      <rPr>
        <sz val="11"/>
        <color theme="1"/>
        <rFont val="Noto Sans CJK SC"/>
        <charset val="134"/>
      </rPr>
      <t>中台问卷模板管理改造完成（接入统一问卷引擎，不独立新建）</t>
    </r>
  </si>
  <si>
    <r>
      <rPr>
        <sz val="11"/>
        <color theme="1"/>
        <rFont val="Noto Sans CJK SC"/>
        <charset val="134"/>
      </rPr>
      <t>阶段</t>
    </r>
    <r>
      <rPr>
        <sz val="11"/>
        <color theme="1"/>
        <rFont val="宋体"/>
        <charset val="134"/>
      </rPr>
      <t>7</t>
    </r>
    <r>
      <rPr>
        <sz val="11"/>
        <color theme="1"/>
        <rFont val="Noto Sans CJK SC"/>
        <charset val="134"/>
      </rPr>
      <t>启动前</t>
    </r>
  </si>
  <si>
    <r>
      <rPr>
        <sz val="11"/>
        <color theme="1"/>
        <rFont val="Noto Sans CJK SC"/>
        <charset val="134"/>
      </rPr>
      <t>寿险产品表写入统一</t>
    </r>
    <r>
      <rPr>
        <sz val="11"/>
        <color theme="1"/>
        <rFont val="宋体"/>
        <charset val="134"/>
      </rPr>
      <t>ins_product</t>
    </r>
    <r>
      <rPr>
        <sz val="11"/>
        <color theme="1"/>
        <rFont val="Noto Sans CJK SC"/>
        <charset val="134"/>
      </rPr>
      <t>主表；保司表不独立新建</t>
    </r>
  </si>
  <si>
    <r>
      <rPr>
        <sz val="11"/>
        <color theme="1"/>
        <rFont val="Noto Sans CJK SC"/>
        <charset val="134"/>
      </rPr>
      <t>阶段</t>
    </r>
    <r>
      <rPr>
        <sz val="11"/>
        <color theme="1"/>
        <rFont val="宋体"/>
        <charset val="134"/>
      </rPr>
      <t>8</t>
    </r>
    <r>
      <rPr>
        <sz val="11"/>
        <color theme="1"/>
        <rFont val="Noto Sans CJK SC"/>
        <charset val="134"/>
      </rPr>
      <t>启动前</t>
    </r>
  </si>
  <si>
    <r>
      <rPr>
        <sz val="11"/>
        <color theme="1"/>
        <rFont val="Noto Sans CJK SC"/>
        <charset val="134"/>
      </rPr>
      <t>寿险保费试算调用</t>
    </r>
    <r>
      <rPr>
        <sz val="11"/>
        <color theme="1"/>
        <rFont val="宋体"/>
        <charset val="134"/>
      </rPr>
      <t>premium-calculation-service</t>
    </r>
    <r>
      <rPr>
        <sz val="11"/>
        <color theme="1"/>
        <rFont val="Noto Sans CJK SC"/>
        <charset val="134"/>
      </rPr>
      <t>；健康告知调用</t>
    </r>
    <r>
      <rPr>
        <sz val="11"/>
        <color theme="1"/>
        <rFont val="宋体"/>
        <charset val="134"/>
      </rPr>
      <t>health-underwriting-service</t>
    </r>
  </si>
  <si>
    <t>阶段</t>
  </si>
  <si>
    <t>Sheet名称</t>
  </si>
  <si>
    <t>模块说明</t>
  </si>
  <si>
    <t>前端工时
(天)</t>
  </si>
  <si>
    <t>后端工时
(天)</t>
  </si>
  <si>
    <t>合计工时
(天)</t>
  </si>
  <si>
    <t>人员配置</t>
  </si>
  <si>
    <t>备注</t>
  </si>
  <si>
    <t>阶段0</t>
  </si>
  <si>
    <t>阶段0-C端基础建设与存量数据导入</t>
  </si>
  <si>
    <r>
      <rPr>
        <sz val="10"/>
        <color rgb="FF000000"/>
        <rFont val="Arial"/>
        <charset val="134"/>
      </rPr>
      <t>C</t>
    </r>
    <r>
      <rPr>
        <sz val="10"/>
        <color rgb="FF000000"/>
        <rFont val="Noto Sans CJK SC"/>
        <charset val="134"/>
      </rPr>
      <t>端小程序框架（注册</t>
    </r>
    <r>
      <rPr>
        <sz val="10"/>
        <color rgb="FF000000"/>
        <rFont val="Arial"/>
        <charset val="134"/>
      </rPr>
      <t>/</t>
    </r>
    <r>
      <rPr>
        <sz val="10"/>
        <color rgb="FF000000"/>
        <rFont val="Noto Sans CJK SC"/>
        <charset val="134"/>
      </rPr>
      <t>登录</t>
    </r>
    <r>
      <rPr>
        <sz val="10"/>
        <color rgb="FF000000"/>
        <rFont val="Arial"/>
        <charset val="134"/>
      </rPr>
      <t>/</t>
    </r>
    <r>
      <rPr>
        <sz val="10"/>
        <color rgb="FF000000"/>
        <rFont val="Noto Sans CJK SC"/>
        <charset val="134"/>
      </rPr>
      <t>保单列表</t>
    </r>
    <r>
      <rPr>
        <sz val="10"/>
        <color rgb="FF000000"/>
        <rFont val="Arial"/>
        <charset val="134"/>
      </rPr>
      <t>/</t>
    </r>
    <r>
      <rPr>
        <sz val="10"/>
        <color rgb="FF000000"/>
        <rFont val="Noto Sans CJK SC"/>
        <charset val="134"/>
      </rPr>
      <t>保单详情）；存量保单数据清洗导入工具（车险</t>
    </r>
    <r>
      <rPr>
        <sz val="10"/>
        <color rgb="FF000000"/>
        <rFont val="Arial"/>
        <charset val="134"/>
      </rPr>
      <t>/</t>
    </r>
    <r>
      <rPr>
        <sz val="10"/>
        <color rgb="FF000000"/>
        <rFont val="Noto Sans CJK SC"/>
        <charset val="134"/>
      </rPr>
      <t>非车险</t>
    </r>
    <r>
      <rPr>
        <sz val="10"/>
        <color rgb="FF000000"/>
        <rFont val="Arial"/>
        <charset val="134"/>
      </rPr>
      <t>/</t>
    </r>
    <r>
      <rPr>
        <sz val="10"/>
        <color rgb="FF000000"/>
        <rFont val="Noto Sans CJK SC"/>
        <charset val="134"/>
      </rPr>
      <t>寿险三类</t>
    </r>
    <r>
      <rPr>
        <sz val="10"/>
        <color rgb="FF000000"/>
        <rFont val="Arial"/>
        <charset val="134"/>
      </rPr>
      <t>Excel</t>
    </r>
    <r>
      <rPr>
        <sz val="10"/>
        <color rgb="FF000000"/>
        <rFont val="Noto Sans CJK SC"/>
        <charset val="134"/>
      </rPr>
      <t>批量导入）；手机号保单自动绑定；</t>
    </r>
    <r>
      <rPr>
        <sz val="10"/>
        <color rgb="FF000000"/>
        <rFont val="Arial"/>
        <charset val="134"/>
      </rPr>
      <t>C</t>
    </r>
    <r>
      <rPr>
        <sz val="10"/>
        <color rgb="FF000000"/>
        <rFont val="Noto Sans CJK SC"/>
        <charset val="134"/>
      </rPr>
      <t>端首页框架</t>
    </r>
  </si>
  <si>
    <r>
      <rPr>
        <sz val="10"/>
        <color rgb="FF000000"/>
        <rFont val="Arial"/>
        <charset val="134"/>
      </rPr>
      <t>1</t>
    </r>
    <r>
      <rPr>
        <sz val="10"/>
        <color rgb="FF000000"/>
        <rFont val="Noto Sans CJK SC"/>
        <charset val="134"/>
      </rPr>
      <t>前端</t>
    </r>
    <r>
      <rPr>
        <sz val="10"/>
        <color rgb="FF000000"/>
        <rFont val="Arial"/>
        <charset val="134"/>
      </rPr>
      <t>+1</t>
    </r>
    <r>
      <rPr>
        <sz val="10"/>
        <color rgb="FF000000"/>
        <rFont val="Noto Sans CJK SC"/>
        <charset val="134"/>
      </rPr>
      <t>后端</t>
    </r>
  </si>
  <si>
    <r>
      <rPr>
        <sz val="10"/>
        <color rgb="FFFF0000"/>
        <rFont val="Arial"/>
        <charset val="134"/>
      </rPr>
      <t>🆕 V14</t>
    </r>
    <r>
      <rPr>
        <sz val="10"/>
        <color rgb="FFFF0000"/>
        <rFont val="Noto Sans CJK SC"/>
        <charset val="134"/>
      </rPr>
      <t>新增</t>
    </r>
    <r>
      <rPr>
        <sz val="10"/>
        <color rgb="FFFF0000"/>
        <rFont val="Arial"/>
        <charset val="134"/>
      </rPr>
      <t>-</t>
    </r>
    <r>
      <rPr>
        <sz val="10"/>
        <color rgb="FFFF0000"/>
        <rFont val="Noto Sans CJK SC"/>
        <charset val="134"/>
      </rPr>
      <t>最高优先级</t>
    </r>
    <r>
      <rPr>
        <sz val="10"/>
        <color rgb="FFFF0000"/>
        <rFont val="Arial"/>
        <charset val="134"/>
      </rPr>
      <t xml:space="preserve">P0
</t>
    </r>
  </si>
  <si>
    <t>阶段1</t>
  </si>
  <si>
    <t>阶段1-业务员App-车险报价</t>
  </si>
  <si>
    <t>行驶证OCR识别、车辆档案管理、投保方案配置、多保司并发报价引擎、报价单PDF/H5生成与分享、续保任务管理</t>
  </si>
  <si>
    <t>1前端+1后端</t>
  </si>
  <si>
    <t>阶段1-PC管理后台-基础建设</t>
  </si>
  <si>
    <t>组织架构/人员管理、产品配置、费率表维护、系统配置、日志监控</t>
  </si>
  <si>
    <r>
      <rPr>
        <sz val="10"/>
        <color rgb="FF000000"/>
        <rFont val="Noto Sans CJK SC"/>
        <charset val="134"/>
      </rPr>
      <t>阶段</t>
    </r>
    <r>
      <rPr>
        <sz val="10"/>
        <color rgb="FF000000"/>
        <rFont val="宋体-简"/>
        <charset val="134"/>
      </rPr>
      <t>1</t>
    </r>
  </si>
  <si>
    <r>
      <rPr>
        <sz val="10"/>
        <color rgb="FF000000"/>
        <rFont val="Noto Sans CJK SC"/>
        <charset val="134"/>
      </rPr>
      <t>阶段</t>
    </r>
    <r>
      <rPr>
        <sz val="10"/>
        <color rgb="FF000000"/>
        <rFont val="宋体-简"/>
        <charset val="134"/>
      </rPr>
      <t>1-PC</t>
    </r>
    <r>
      <rPr>
        <sz val="10"/>
        <color rgb="FF000000"/>
        <rFont val="Noto Sans CJK SC"/>
        <charset val="134"/>
      </rPr>
      <t>管理后台</t>
    </r>
    <r>
      <rPr>
        <sz val="10"/>
        <color rgb="FF000000"/>
        <rFont val="宋体-简"/>
        <charset val="134"/>
      </rPr>
      <t>-</t>
    </r>
    <r>
      <rPr>
        <sz val="10"/>
        <color rgb="FF000000"/>
        <rFont val="Noto Sans CJK SC"/>
        <charset val="134"/>
      </rPr>
      <t>车险业务</t>
    </r>
  </si>
  <si>
    <t>车险保单管理（录入/批量录入/批单/查询/场景管理/导入/导出/批量更新删除/同步设置）、报表管理（监管报表）、统计分析（业务来源/保司/组织部门/工号/业务员/区域/交商/新旧车/险种/分支机构10大分析）</t>
  </si>
  <si>
    <t>新增补充</t>
  </si>
  <si>
    <t>阶段2</t>
  </si>
  <si>
    <r>
      <rPr>
        <sz val="10"/>
        <color rgb="FF000000"/>
        <rFont val="Noto Sans CJK SC"/>
        <charset val="134"/>
      </rPr>
      <t>阶段</t>
    </r>
    <r>
      <rPr>
        <sz val="10"/>
        <color rgb="FF000000"/>
        <rFont val="宋体-简"/>
        <charset val="134"/>
      </rPr>
      <t>2-PC</t>
    </r>
    <r>
      <rPr>
        <sz val="10"/>
        <color rgb="FF000000"/>
        <rFont val="Noto Sans CJK SC"/>
        <charset val="134"/>
      </rPr>
      <t>管理后台</t>
    </r>
    <r>
      <rPr>
        <sz val="10"/>
        <color rgb="FF000000"/>
        <rFont val="宋体-简"/>
        <charset val="134"/>
      </rPr>
      <t>-</t>
    </r>
    <r>
      <rPr>
        <sz val="10"/>
        <color rgb="FF000000"/>
        <rFont val="Noto Sans CJK SC"/>
        <charset val="134"/>
      </rPr>
      <t>非车险业务</t>
    </r>
  </si>
  <si>
    <t>非车保单管理（录入/批单录入/Excel导入/查询/条件字段自定义/批量更新/导入排查）、政策设置（新增批次/编辑停用）、统计分析（险别占比/分支机构/保司/区域/业务来源）、系统设置（产品管理/模板设置/保单设置）</t>
  </si>
  <si>
    <t>阶段2-业务员App-非车险展业</t>
  </si>
  <si>
    <t>非车险产品库、保费试算、计划书制作、CRM客户管理、订单管理、业绩/佣金统计</t>
  </si>
  <si>
    <t>阶段2-PC管理后台-佣金系统</t>
  </si>
  <si>
    <t>基本法/职级配置、佣金计算引擎、佣金结算、保司对账、订单/保单管理、财务报表、薪酬管理、车险政策管理、非车系统设置</t>
  </si>
  <si>
    <r>
      <rPr>
        <sz val="10"/>
        <color rgb="FF000000"/>
        <rFont val="Noto Sans CJK SC"/>
        <charset val="134"/>
      </rPr>
      <t>阶段</t>
    </r>
    <r>
      <rPr>
        <sz val="10"/>
        <color rgb="FF000000"/>
        <rFont val="宋体-简"/>
        <charset val="134"/>
      </rPr>
      <t>2-PC</t>
    </r>
    <r>
      <rPr>
        <sz val="10"/>
        <color rgb="FF000000"/>
        <rFont val="Noto Sans CJK SC"/>
        <charset val="134"/>
      </rPr>
      <t>管理后台</t>
    </r>
    <r>
      <rPr>
        <sz val="10"/>
        <color rgb="FF000000"/>
        <rFont val="宋体-简"/>
        <charset val="134"/>
      </rPr>
      <t>-</t>
    </r>
    <r>
      <rPr>
        <sz val="10"/>
        <color rgb="FF000000"/>
        <rFont val="Noto Sans CJK SC"/>
        <charset val="134"/>
      </rPr>
      <t>客户</t>
    </r>
    <r>
      <rPr>
        <sz val="10"/>
        <color rgb="FF000000"/>
        <rFont val="宋体-简"/>
        <charset val="134"/>
      </rPr>
      <t>CRM</t>
    </r>
  </si>
  <si>
    <t>PC端客户列表/画像/续期看板/云短信/数据报表/监控看板</t>
  </si>
  <si>
    <t>阶段3</t>
  </si>
  <si>
    <t>阶段3-C端商城（消费者前台）</t>
  </si>
  <si>
    <t>C端用户体系、商城首页、产品列表/详情、车险/非车险投保、支付、保单管理、理赔服务</t>
  </si>
  <si>
    <t>阶段3-业务员App-营销工具</t>
  </si>
  <si>
    <t>营销素材（海报/文案/视频）、客户邀请、活动推广、团队管理、培训中心</t>
  </si>
  <si>
    <t>阶段3-PC管理后台-营销管理</t>
  </si>
  <si>
    <t>内容管理、活动管理、优惠券、积分管理、数据统计看板、培训管理（PC后台）</t>
  </si>
  <si>
    <t>阶段4</t>
  </si>
  <si>
    <t>阶段4-AI智能中台</t>
  </si>
  <si>
    <t>AI保障规划、智能核保、智能客服、数据分析与用户画像</t>
  </si>
  <si>
    <t>阶段5</t>
  </si>
  <si>
    <t>阶段5-合规双录</t>
  </si>
  <si>
    <t>音视频双录、AI质检（语音识别/关键词检测/人脸识别）、合规存证管理</t>
  </si>
  <si>
    <t>阶段6</t>
  </si>
  <si>
    <t>阶段6-财务中台</t>
  </si>
  <si>
    <t>自动对账、结算管理、税务管理、BI经营报表、监管数据上报</t>
  </si>
  <si>
    <r>
      <rPr>
        <sz val="10"/>
        <color rgb="FF000000"/>
        <rFont val="Noto Sans CJK SC"/>
        <charset val="134"/>
      </rPr>
      <t>阶段</t>
    </r>
    <r>
      <rPr>
        <sz val="10"/>
        <color rgb="FF000000"/>
        <rFont val="宋体-简"/>
        <charset val="134"/>
      </rPr>
      <t>6-</t>
    </r>
    <r>
      <rPr>
        <sz val="10"/>
        <color rgb="FF000000"/>
        <rFont val="Noto Sans CJK SC"/>
        <charset val="134"/>
      </rPr>
      <t>财务中台</t>
    </r>
    <r>
      <rPr>
        <sz val="10"/>
        <color rgb="FF000000"/>
        <rFont val="宋体-简"/>
        <charset val="134"/>
      </rPr>
      <t>-</t>
    </r>
    <r>
      <rPr>
        <sz val="10"/>
        <color rgb="FF000000"/>
        <rFont val="Noto Sans CJK SC"/>
        <charset val="134"/>
      </rPr>
      <t>合格结算补充</t>
    </r>
  </si>
  <si>
    <t>批量修改手续费并结算/未填手续费跟单/合格导出模板（车险/非车险）/合格上游结算完整流程</t>
  </si>
  <si>
    <t>缺口6补充</t>
  </si>
  <si>
    <t>阶段7</t>
  </si>
  <si>
    <r>
      <rPr>
        <sz val="10"/>
        <color rgb="FF000000"/>
        <rFont val="Noto Sans CJK SC"/>
        <charset val="134"/>
      </rPr>
      <t>阶段</t>
    </r>
    <r>
      <rPr>
        <sz val="10"/>
        <color rgb="FF000000"/>
        <rFont val="宋体-简"/>
        <charset val="134"/>
      </rPr>
      <t>7-PC</t>
    </r>
    <r>
      <rPr>
        <sz val="10"/>
        <color rgb="FF000000"/>
        <rFont val="Noto Sans CJK SC"/>
        <charset val="134"/>
      </rPr>
      <t>管理后台</t>
    </r>
    <r>
      <rPr>
        <sz val="10"/>
        <color rgb="FF000000"/>
        <rFont val="宋体-简"/>
        <charset val="134"/>
      </rPr>
      <t>-</t>
    </r>
    <r>
      <rPr>
        <sz val="10"/>
        <color rgb="FF000000"/>
        <rFont val="Noto Sans CJK SC"/>
        <charset val="134"/>
      </rPr>
      <t>寿险体系</t>
    </r>
  </si>
  <si>
    <r>
      <rPr>
        <sz val="11"/>
        <color rgb="FF000000"/>
        <rFont val="Noto Sans CJK SC"/>
        <charset val="134"/>
      </rPr>
      <t>寿险保单管理（个</t>
    </r>
    <r>
      <rPr>
        <sz val="11"/>
        <color rgb="FF000000"/>
        <rFont val="宋体"/>
        <charset val="134"/>
      </rPr>
      <t>/</t>
    </r>
    <r>
      <rPr>
        <sz val="11"/>
        <color rgb="FF000000"/>
        <rFont val="Noto Sans CJK SC"/>
        <charset val="134"/>
      </rPr>
      <t>团险）、回访管理、保全维护、续期跟踪、孤儿单管理、理赔管理、数据回传、财务管理、报表管理、系统管理、产品管理、政策管理</t>
    </r>
  </si>
  <si>
    <r>
      <rPr>
        <sz val="11"/>
        <color rgb="FF000000"/>
        <rFont val="宋体"/>
        <charset val="134"/>
      </rPr>
      <t>1</t>
    </r>
    <r>
      <rPr>
        <sz val="11"/>
        <color rgb="FF000000"/>
        <rFont val="Noto Sans CJK SC"/>
        <charset val="134"/>
      </rPr>
      <t>前端</t>
    </r>
    <r>
      <rPr>
        <sz val="11"/>
        <color rgb="FF000000"/>
        <rFont val="宋体"/>
        <charset val="134"/>
      </rPr>
      <t>+1</t>
    </r>
    <r>
      <rPr>
        <sz val="11"/>
        <color rgb="FF000000"/>
        <rFont val="Noto Sans CJK SC"/>
        <charset val="134"/>
      </rPr>
      <t>后端</t>
    </r>
  </si>
  <si>
    <t>新增阶段</t>
  </si>
  <si>
    <t>阶段8</t>
  </si>
  <si>
    <r>
      <rPr>
        <sz val="10"/>
        <color rgb="FF000000"/>
        <rFont val="Noto Sans CJK SC"/>
        <charset val="134"/>
      </rPr>
      <t>阶段</t>
    </r>
    <r>
      <rPr>
        <sz val="10"/>
        <color rgb="FF000000"/>
        <rFont val="宋体-简"/>
        <charset val="134"/>
      </rPr>
      <t>8-</t>
    </r>
    <r>
      <rPr>
        <sz val="10"/>
        <color rgb="FF000000"/>
        <rFont val="Noto Sans CJK SC"/>
        <charset val="134"/>
      </rPr>
      <t>业务员</t>
    </r>
    <r>
      <rPr>
        <sz val="10"/>
        <color rgb="FF000000"/>
        <rFont val="宋体-简"/>
        <charset val="134"/>
      </rPr>
      <t>App-</t>
    </r>
    <r>
      <rPr>
        <sz val="10"/>
        <color rgb="FF000000"/>
        <rFont val="Noto Sans CJK SC"/>
        <charset val="134"/>
      </rPr>
      <t>寿险展业</t>
    </r>
  </si>
  <si>
    <r>
      <rPr>
        <sz val="11"/>
        <color rgb="FF000000"/>
        <rFont val="Noto Sans CJK SC"/>
        <charset val="134"/>
      </rPr>
      <t>寿险产品展业</t>
    </r>
    <r>
      <rPr>
        <sz val="11"/>
        <color rgb="FF000000"/>
        <rFont val="宋体"/>
        <charset val="134"/>
      </rPr>
      <t>/</t>
    </r>
    <r>
      <rPr>
        <sz val="11"/>
        <color rgb="FF000000"/>
        <rFont val="Noto Sans CJK SC"/>
        <charset val="134"/>
      </rPr>
      <t>保费试算</t>
    </r>
    <r>
      <rPr>
        <sz val="11"/>
        <color rgb="FF000000"/>
        <rFont val="宋体"/>
        <charset val="134"/>
      </rPr>
      <t>/</t>
    </r>
    <r>
      <rPr>
        <sz val="11"/>
        <color rgb="FF000000"/>
        <rFont val="Noto Sans CJK SC"/>
        <charset val="134"/>
      </rPr>
      <t>计划书制作</t>
    </r>
    <r>
      <rPr>
        <sz val="11"/>
        <color rgb="FF000000"/>
        <rFont val="宋体"/>
        <charset val="134"/>
      </rPr>
      <t>/App</t>
    </r>
    <r>
      <rPr>
        <sz val="11"/>
        <color rgb="FF000000"/>
        <rFont val="Noto Sans CJK SC"/>
        <charset val="134"/>
      </rPr>
      <t>端保单录入</t>
    </r>
    <r>
      <rPr>
        <sz val="11"/>
        <color rgb="FF000000"/>
        <rFont val="宋体"/>
        <charset val="134"/>
      </rPr>
      <t>/</t>
    </r>
    <r>
      <rPr>
        <sz val="11"/>
        <color rgb="FF000000"/>
        <rFont val="Noto Sans CJK SC"/>
        <charset val="134"/>
      </rPr>
      <t>续期跟踪</t>
    </r>
    <r>
      <rPr>
        <sz val="11"/>
        <color rgb="FF000000"/>
        <rFont val="宋体"/>
        <charset val="134"/>
      </rPr>
      <t>/</t>
    </r>
    <r>
      <rPr>
        <sz val="11"/>
        <color rgb="FF000000"/>
        <rFont val="Noto Sans CJK SC"/>
        <charset val="134"/>
      </rPr>
      <t>寿险客户管理</t>
    </r>
  </si>
  <si>
    <r>
      <rPr>
        <sz val="10"/>
        <color rgb="FF000000"/>
        <rFont val="Noto Sans CJK SC"/>
        <charset val="134"/>
      </rPr>
      <t>阶段</t>
    </r>
    <r>
      <rPr>
        <sz val="10"/>
        <color rgb="FF000000"/>
        <rFont val="宋体-简"/>
        <charset val="134"/>
      </rPr>
      <t>8-C</t>
    </r>
    <r>
      <rPr>
        <sz val="10"/>
        <color rgb="FF000000"/>
        <rFont val="Noto Sans CJK SC"/>
        <charset val="134"/>
      </rPr>
      <t>端商城</t>
    </r>
    <r>
      <rPr>
        <sz val="10"/>
        <color rgb="FF000000"/>
        <rFont val="宋体-简"/>
        <charset val="134"/>
      </rPr>
      <t>-</t>
    </r>
    <r>
      <rPr>
        <sz val="10"/>
        <color rgb="FF000000"/>
        <rFont val="Noto Sans CJK SC"/>
        <charset val="134"/>
      </rPr>
      <t>寿险投保</t>
    </r>
  </si>
  <si>
    <t>寿险产品列表/详情/健康告知/投保流程/支付核保/C端保单管理/续期缴费提醒</t>
  </si>
  <si>
    <t>汇总</t>
  </si>
  <si>
    <t>共 17 个Sheet，完整覆盖平台全功能（含车险/非车险PC端完整业务+寿险PC/App/C端+合格结算）</t>
  </si>
  <si>
    <t>说明</t>
  </si>
  <si>
    <t>V14调整说明：①新增阶段0（C端基础+存量数据导入，约22天，立即启动）；②阶段1不含车险报价引擎，报价模块整体移至阶段4等待保司谈判完成；③寿险个险保单管理从阶段7提前至阶段2（支撑C端寿险保单展示）；④全平台C端保单查询功能最快第1个月可上线。</t>
  </si>
  <si>
    <t>代码工程结构说明参照文档《保险中介平台-intermediary-cloud工程结构设计.md》</t>
  </si>
  <si>
    <t>保险中介平台 · 三大架构风险处理 — 工时评估表</t>
  </si>
  <si>
    <t>版本：V1.0    制表日期：2026-02-28    说明：本表为现有排期V13基础上新增的架构改造工时，不替代原有排期，需叠加计入项目总工时</t>
  </si>
  <si>
    <t>#</t>
  </si>
  <si>
    <t>问题分类</t>
  </si>
  <si>
    <t>功能模块/任务</t>
  </si>
  <si>
    <t>功能点详述</t>
  </si>
  <si>
    <t>前端(天)</t>
  </si>
  <si>
    <t>后端(天)</t>
  </si>
  <si>
    <t>合计(天)</t>
  </si>
  <si>
    <t>建议插入阶段</t>
  </si>
  <si>
    <t>技术难点/注意事项</t>
  </si>
  <si>
    <t>优先级</t>
  </si>
  <si>
    <t xml:space="preserve">  一、健康险核保公共服务（health-underwriting-service）</t>
  </si>
  <si>
    <t>问题一
健康险核保</t>
  </si>
  <si>
    <r>
      <rPr>
        <b/>
        <sz val="9"/>
        <color rgb="FF000000"/>
        <rFont val="Arial"/>
        <charset val="1"/>
      </rPr>
      <t xml:space="preserve">health-underwriting-service
</t>
    </r>
    <r>
      <rPr>
        <b/>
        <sz val="9"/>
        <color rgb="FF000000"/>
        <rFont val="Noto Sans CJK SC"/>
        <charset val="134"/>
      </rPr>
      <t>微服务骨架搭建</t>
    </r>
  </si>
  <si>
    <t>创建独立微服务模块：health-underwriting-service。配置pom依赖（yudao-cloud基础依赖、Nacos注册、OpenFeign）、包结构（questionnaire/waiting-period/underwriting/compliance）、数据库连接配置、Spring Boot启动类；注册到Nacos服务中心；配置Feign客户端供非车险和寿险模块调用。</t>
  </si>
  <si>
    <r>
      <rPr>
        <sz val="9"/>
        <color rgb="FF000000"/>
        <rFont val="Arial"/>
        <charset val="1"/>
      </rPr>
      <t>1</t>
    </r>
    <r>
      <rPr>
        <sz val="9"/>
        <color rgb="FF000000"/>
        <rFont val="Noto Sans CJK SC"/>
        <charset val="134"/>
      </rPr>
      <t>后端</t>
    </r>
  </si>
  <si>
    <t>阶段1末
（基础架构建设期）</t>
  </si>
  <si>
    <t>微服务注册Nacos；Feign客户端接口定义规范；多模块Maven依赖配置</t>
  </si>
  <si>
    <t>P0</t>
  </si>
  <si>
    <t>健康告知问卷
模板管理后台</t>
  </si>
  <si>
    <t>【PC管理后台】问卷模板CRUD：模板列表（按场景/保司/状态筛选）；新增/编辑模板（含题目列表管理：增/删/改/拖拽排序）；题目类型配置（是否题/单选/多选/文本输入）；跳题逻辑JSON可视化配置（IF条件→JUMP_TO目标题）；模板启用/停用；版本管理（修改自动生成新版本，旧版本归档）。</t>
  </si>
  <si>
    <r>
      <rPr>
        <sz val="9"/>
        <color rgb="FF000000"/>
        <rFont val="Arial"/>
        <charset val="1"/>
      </rPr>
      <t>1</t>
    </r>
    <r>
      <rPr>
        <sz val="9"/>
        <color rgb="FF000000"/>
        <rFont val="Noto Sans CJK SC"/>
        <charset val="134"/>
      </rPr>
      <t>前端</t>
    </r>
    <r>
      <rPr>
        <sz val="9"/>
        <color rgb="FF000000"/>
        <rFont val="Arial"/>
        <charset val="1"/>
      </rPr>
      <t>+1</t>
    </r>
    <r>
      <rPr>
        <sz val="9"/>
        <color rgb="FF000000"/>
        <rFont val="Noto Sans CJK SC"/>
        <charset val="134"/>
      </rPr>
      <t>后端</t>
    </r>
  </si>
  <si>
    <t>阶段2
（非车险开发前完成）</t>
  </si>
  <si>
    <r>
      <rPr>
        <i/>
        <sz val="8"/>
        <color rgb="FF595959"/>
        <rFont val="Arial"/>
        <charset val="1"/>
      </rPr>
      <t>JSON</t>
    </r>
    <r>
      <rPr>
        <i/>
        <sz val="8"/>
        <color rgb="FF595959"/>
        <rFont val="Noto Sans CJK SC"/>
        <charset val="134"/>
      </rPr>
      <t>跳题逻辑可视化编辑器；题目动态增删序；模板版本锁定机制（已关联保单的模板不可删除）</t>
    </r>
  </si>
  <si>
    <t>健康告知问卷
H5填写页面</t>
  </si>
  <si>
    <t>【B端App + C端H5】健康告知问卷渲染页：根据产品动态加载匹配模板；逐题渲染（支持跳题逻辑前端实时执行）；作答暂存（localStorage + 后端upsert）；提交时必填校验；代客投保时顶部显示"代客操作"标识，作答后生成区块链存证哈希；C端用户本人填写支持签名确认。</t>
  </si>
  <si>
    <t>阶段3
（C端开发同步）</t>
  </si>
  <si>
    <t>前端跳题逻辑引擎（按skipLogic JSON实时渲染）；区块链存证API集成；operatorType标记区分本人/代客；暂存断点续答</t>
  </si>
  <si>
    <t>等待期规则
配置后台</t>
  </si>
  <si>
    <t>【PC管理后台】等待期规则CRUD：按产品大类（寿险/重疾险/意外险/团体健康险）配置等待期天数；支持按保司差异化配置；配置"意外无等待期"例外规则；生效日期管理（历史规则归档）；提供查询接口供投保流程调用。</t>
  </si>
  <si>
    <t>等待期规则优先级匹配（产品级&gt;险种级&gt;通用）；规则变更不影响存量保单</t>
  </si>
  <si>
    <t>核保决策引擎
（后端服务）</t>
  </si>
  <si>
    <t>后端纯逻辑服务：接收作答JSON，按预设规则树计算核保结论（标体/除外/加费/拒保）；规则配置化存储（decision_rule表），支持后台可视化配置；BigDecimal精确计算加费金额；核保结论写入health_questionnaire_answer；触发MQ通知投保主流程；拒保时返回拒保原因供前端展示。</t>
  </si>
  <si>
    <r>
      <rPr>
        <i/>
        <sz val="8"/>
        <color rgb="FF595959"/>
        <rFont val="Arial"/>
        <charset val="1"/>
      </rPr>
      <t>Drools</t>
    </r>
    <r>
      <rPr>
        <i/>
        <sz val="8"/>
        <color rgb="FF595959"/>
        <rFont val="Noto Sans CJK SC"/>
        <charset val="134"/>
      </rPr>
      <t>规则引擎或</t>
    </r>
    <r>
      <rPr>
        <i/>
        <sz val="8"/>
        <color rgb="FF595959"/>
        <rFont val="Arial"/>
        <charset val="1"/>
      </rPr>
      <t>Aviator</t>
    </r>
    <r>
      <rPr>
        <i/>
        <sz val="8"/>
        <color rgb="FF595959"/>
        <rFont val="Noto Sans CJK SC"/>
        <charset val="134"/>
      </rPr>
      <t>表达式引擎；决策规则热更新（不重启生效）；核保结论审计日志</t>
    </r>
  </si>
  <si>
    <t>非车险模块
接入健康核保服务</t>
  </si>
  <si>
    <t>在非车险保单录入流程中，检测产品has_health_notification=1时，调用health-underwriting-service获取匹配问卷模板，跳转健康告知填写页；作答提交后获取核保结论，拒保则阻断出单流程，除外/加费则在保单上附注；修改非车险保单VO新增underwriting_answer_id外键关联。</t>
  </si>
  <si>
    <t>阶段5
（非车险业务开发期）</t>
  </si>
  <si>
    <r>
      <rPr>
        <i/>
        <sz val="8"/>
        <color rgb="FF595959"/>
        <rFont val="Arial"/>
        <charset val="1"/>
      </rPr>
      <t>Feign</t>
    </r>
    <r>
      <rPr>
        <i/>
        <sz val="8"/>
        <color rgb="FF595959"/>
        <rFont val="Noto Sans CJK SC"/>
        <charset val="134"/>
      </rPr>
      <t>调用超时熔断（</t>
    </r>
    <r>
      <rPr>
        <i/>
        <sz val="8"/>
        <color rgb="FF595959"/>
        <rFont val="Arial"/>
        <charset val="1"/>
      </rPr>
      <t>Sentinel</t>
    </r>
    <r>
      <rPr>
        <i/>
        <sz val="8"/>
        <color rgb="FF595959"/>
        <rFont val="Noto Sans CJK SC"/>
        <charset val="134"/>
      </rPr>
      <t>）；核保结论与保单状态联动；存量无需健康告知产品兼容</t>
    </r>
  </si>
  <si>
    <t>P1</t>
  </si>
  <si>
    <t>寿险模块
接入健康核保服务</t>
  </si>
  <si>
    <t>在寿险个险保单录入及C端H5投保流程中接入健康核保服务；寿险核保结论还需触发人工核保审批流程（needs_manual_underwriting=1时）；人工核保Task写入Flowable工作流，PC端核保人员审批界面；审批结论回写保单状态；健康告知记录与寿险保单双向关联。</t>
  </si>
  <si>
    <t>阶段7
（寿险体系开发期）</t>
  </si>
  <si>
    <r>
      <rPr>
        <i/>
        <sz val="8"/>
        <color rgb="FF595959"/>
        <rFont val="Arial"/>
        <charset val="1"/>
      </rPr>
      <t>Flowable</t>
    </r>
    <r>
      <rPr>
        <i/>
        <sz val="8"/>
        <color rgb="FF595959"/>
        <rFont val="Noto Sans CJK SC"/>
        <charset val="134"/>
      </rPr>
      <t>工作流接入；人工核保任务队列；核保审批通知（站内信</t>
    </r>
    <r>
      <rPr>
        <i/>
        <sz val="8"/>
        <color rgb="FF595959"/>
        <rFont val="Arial"/>
        <charset val="1"/>
      </rPr>
      <t>+</t>
    </r>
    <r>
      <rPr>
        <i/>
        <sz val="8"/>
        <color rgb="FF595959"/>
        <rFont val="Noto Sans CJK SC"/>
        <charset val="134"/>
      </rPr>
      <t>短信）；与阶段</t>
    </r>
    <r>
      <rPr>
        <i/>
        <sz val="8"/>
        <color rgb="FF595959"/>
        <rFont val="Arial"/>
        <charset val="1"/>
      </rPr>
      <t>4 AI</t>
    </r>
    <r>
      <rPr>
        <i/>
        <sz val="8"/>
        <color rgb="FF595959"/>
        <rFont val="Noto Sans CJK SC"/>
        <charset val="134"/>
      </rPr>
      <t>智能核保衔接</t>
    </r>
  </si>
  <si>
    <t>问题一 小计</t>
  </si>
  <si>
    <t xml:space="preserve">  二、产品库统一数据库设计（主子表架构）</t>
  </si>
  <si>
    <t>问题二
产品库统一</t>
  </si>
  <si>
    <t>产品主表
ins_product 设计与建表</t>
  </si>
  <si>
    <t>数据库设计评审（1天）：组织架构师+后端负责人确认ins_product主表字段（26个核心字段，详见设计文档）；确认product_code编码规范（{大类}-{公司}-{年月}-{序号}格式）；创建ins_product主表、ins_product_non_auto_ext扩展表（非车险）、ins_product_life_ext扩展表（寿险）；建立联合索引；编写初始Flyway迁移脚本V1.0。</t>
  </si>
  <si>
    <t>阶段1
（立即，数据库设计期）</t>
  </si>
  <si>
    <r>
      <rPr>
        <i/>
        <sz val="8"/>
        <color rgb="FF595959"/>
        <rFont val="Arial"/>
        <charset val="1"/>
      </rPr>
      <t>Flyway</t>
    </r>
    <r>
      <rPr>
        <i/>
        <sz val="8"/>
        <color rgb="FF595959"/>
        <rFont val="Noto Sans CJK SC"/>
        <charset val="134"/>
      </rPr>
      <t>版本管理；</t>
    </r>
    <r>
      <rPr>
        <i/>
        <sz val="8"/>
        <color rgb="FF595959"/>
        <rFont val="Arial"/>
        <charset val="1"/>
      </rPr>
      <t>product_code</t>
    </r>
    <r>
      <rPr>
        <i/>
        <sz val="8"/>
        <color rgb="FF595959"/>
        <rFont val="Noto Sans CJK SC"/>
        <charset val="134"/>
      </rPr>
      <t>唯一索引</t>
    </r>
    <r>
      <rPr>
        <i/>
        <sz val="8"/>
        <color rgb="FF595959"/>
        <rFont val="Arial"/>
        <charset val="1"/>
      </rPr>
      <t>+</t>
    </r>
    <r>
      <rPr>
        <i/>
        <sz val="8"/>
        <color rgb="FF595959"/>
        <rFont val="Noto Sans CJK SC"/>
        <charset val="134"/>
      </rPr>
      <t>生成规则；三表外键约束设计；已有表结构兼容迁移</t>
    </r>
  </si>
  <si>
    <t>产品统一查询视图
v_product_full</t>
  </si>
  <si>
    <t>创建数据库视图 v_product_full，LEFT JOIN主表+两张扩展表；为统计分析、财务对账、监管报表提供统一查询入口；在yudao-cloud框架内创建对应Mapper + ProductFullVO；配置MyBatis映射；编写单元测试验证联合查询结果正确性。</t>
  </si>
  <si>
    <t>阶段1
（建表完成后即创建）</t>
  </si>
  <si>
    <t>视图性能优化（必要时改为物化视图+定时刷新）；确保is_deleted过滤在视图层生效</t>
  </si>
  <si>
    <t>非车险产品管理
改造适配主子表</t>
  </si>
  <si>
    <t>将阶段5原有非车险产品管理页面（新增/编辑）改造为读写主表+扩展表联合操作：前端表单按险种动态显示扩展字段（非车专有：标的类型/团险人数/费率表ID）；后端使用@Transactional同时写ins_product和ins_product_non_auto_ext；废弃原有独立产品表迁移数据。</t>
  </si>
  <si>
    <t>阶段5
（非车险产品模块）</t>
  </si>
  <si>
    <t>原有数据迁移脚本；前端表单动态字段展隐；事务保证主子表同时写入</t>
  </si>
  <si>
    <t>寿险产品管理
改造适配主子表</t>
  </si>
  <si>
    <t>将阶段7寿险产品管理改造为主子表架构：寿险专有字段（缴费期/分红类型/重疾病种列表/现金价值方法）写入ins_product_life_ext；前端寿险产品表单含险种专有Tab；产品详情接口返回ProductFullVO（主表+寿险扩展字段合并）；编写险种专属字段验证规则。</t>
  </si>
  <si>
    <t>阶段7
（寿险产品管理）</t>
  </si>
  <si>
    <t>寿险产品字段数量多（15+扩展字段）；critical_illness_list JSON格式标准化；与健康告知模板ID的联动校验</t>
  </si>
  <si>
    <t>产品编码生成器
（公共工具）</t>
  </si>
  <si>
    <t>开发产品编码自动生成工具类 ProductCodeGenerator：按险种大类选择前缀（CA/AC/CI/GH/NL等）→拼接保司代码→拼接年月→Redis INCR自增序号（4位，跨月自动重置）→校验数据库唯一性（冲突自动重试）；提供PC后台新增产品时的编码预览接口。</t>
  </si>
  <si>
    <r>
      <rPr>
        <i/>
        <sz val="8"/>
        <color rgb="FF595959"/>
        <rFont val="Arial"/>
        <charset val="1"/>
      </rPr>
      <t>Redis INCR</t>
    </r>
    <r>
      <rPr>
        <i/>
        <sz val="8"/>
        <color rgb="FF595959"/>
        <rFont val="Noto Sans CJK SC"/>
        <charset val="134"/>
      </rPr>
      <t>原子性保证；跨月重置逻辑；数据库兜底唯一校验（防</t>
    </r>
    <r>
      <rPr>
        <i/>
        <sz val="8"/>
        <color rgb="FF595959"/>
        <rFont val="Arial"/>
        <charset val="1"/>
      </rPr>
      <t>Redis</t>
    </r>
    <r>
      <rPr>
        <i/>
        <sz val="8"/>
        <color rgb="FF595959"/>
        <rFont val="Noto Sans CJK SC"/>
        <charset val="134"/>
      </rPr>
      <t>故障）</t>
    </r>
  </si>
  <si>
    <t>问题二 小计</t>
  </si>
  <si>
    <t xml:space="preserve">  三、B端代客投保被保人档案管理</t>
  </si>
  <si>
    <t>问题三
被保人档案</t>
  </si>
  <si>
    <t>被保人档案表
数据库设计与建表</t>
  </si>
  <si>
    <t>设计并创建ins_insured_profile（被保人档案主表，22个字段含AES加密证件号、id_no_hash检索字段）和ins_insured_policy_rel（被保人-保单关联表）；建立id_no_hash、agent_id+tenant_id、crm_customer_id联合索引；编写Flyway迁移脚本；确认AES加密密钥管理方案（KeyManagementService集成）。</t>
  </si>
  <si>
    <t>阶段1
（数据库设计期同步创建）</t>
  </si>
  <si>
    <r>
      <rPr>
        <i/>
        <sz val="8"/>
        <color rgb="FF595959"/>
        <rFont val="Arial"/>
        <charset val="1"/>
      </rPr>
      <t>AES-256</t>
    </r>
    <r>
      <rPr>
        <i/>
        <sz val="8"/>
        <color rgb="FF595959"/>
        <rFont val="Noto Sans CJK SC"/>
        <charset val="134"/>
      </rPr>
      <t>加密存储证件号；</t>
    </r>
    <r>
      <rPr>
        <i/>
        <sz val="8"/>
        <color rgb="FF595959"/>
        <rFont val="Arial"/>
        <charset val="1"/>
      </rPr>
      <t>id_no_hash</t>
    </r>
    <r>
      <rPr>
        <i/>
        <sz val="8"/>
        <color rgb="FF595959"/>
        <rFont val="Noto Sans CJK SC"/>
        <charset val="134"/>
      </rPr>
      <t>使用</t>
    </r>
    <r>
      <rPr>
        <i/>
        <sz val="8"/>
        <color rgb="FF595959"/>
        <rFont val="Arial"/>
        <charset val="1"/>
      </rPr>
      <t>SHA-256</t>
    </r>
    <r>
      <rPr>
        <i/>
        <sz val="8"/>
        <color rgb="FF595959"/>
        <rFont val="Noto Sans CJK SC"/>
        <charset val="134"/>
      </rPr>
      <t>（含</t>
    </r>
    <r>
      <rPr>
        <i/>
        <sz val="8"/>
        <color rgb="FF595959"/>
        <rFont val="Arial"/>
        <charset val="1"/>
      </rPr>
      <t>salt</t>
    </r>
    <r>
      <rPr>
        <i/>
        <sz val="8"/>
        <color rgb="FF595959"/>
        <rFont val="Noto Sans CJK SC"/>
        <charset val="134"/>
      </rPr>
      <t>）；索引设计需覆盖主要查询场景</t>
    </r>
  </si>
  <si>
    <t>被保人档案
CRUD API开发</t>
  </si>
  <si>
    <t>开发被保人档案核心API：①搜索接口（按id_no_hash精确匹配+姓名模糊+agent_id权限过滤）；②新增/更新档案（幂等处理：同一证件号同一agent下只有一条）；③档案详情（含历史保单汇总）；④查看历史保单列表（分页，关联ins_insured_policy_rel）；数据权限：业务员只能查看自己或所在机构的档案。</t>
  </si>
  <si>
    <t>阶段3
（CRM模块开发期）</t>
  </si>
  <si>
    <r>
      <rPr>
        <i/>
        <sz val="8"/>
        <color rgb="FF595959"/>
        <rFont val="Arial"/>
        <charset val="1"/>
      </rPr>
      <t>id_no_hash</t>
    </r>
    <r>
      <rPr>
        <i/>
        <sz val="8"/>
        <color rgb="FF595959"/>
        <rFont val="Noto Sans CJK SC"/>
        <charset val="134"/>
      </rPr>
      <t>检索去重；业务员数据权限（行级</t>
    </r>
    <r>
      <rPr>
        <i/>
        <sz val="8"/>
        <color rgb="FF595959"/>
        <rFont val="Arial"/>
        <charset val="1"/>
      </rPr>
      <t>RLS</t>
    </r>
    <r>
      <rPr>
        <i/>
        <sz val="8"/>
        <color rgb="FF595959"/>
        <rFont val="Noto Sans CJK SC"/>
        <charset val="134"/>
      </rPr>
      <t>）；幂等创建防重复档案；证件号加密的模糊搜索替代方案</t>
    </r>
  </si>
  <si>
    <r>
      <rPr>
        <b/>
        <sz val="9"/>
        <color rgb="FF000000"/>
        <rFont val="Arial"/>
        <charset val="1"/>
      </rPr>
      <t>B</t>
    </r>
    <r>
      <rPr>
        <b/>
        <sz val="9"/>
        <color rgb="FF000000"/>
        <rFont val="Noto Sans CJK SC"/>
        <charset val="134"/>
      </rPr>
      <t>端</t>
    </r>
    <r>
      <rPr>
        <b/>
        <sz val="9"/>
        <color rgb="FF000000"/>
        <rFont val="Arial"/>
        <charset val="1"/>
      </rPr>
      <t xml:space="preserve">App
</t>
    </r>
    <r>
      <rPr>
        <b/>
        <sz val="9"/>
        <color rgb="FF000000"/>
        <rFont val="Noto Sans CJK SC"/>
        <charset val="134"/>
      </rPr>
      <t>代客投保被保人</t>
    </r>
    <r>
      <rPr>
        <b/>
        <sz val="9"/>
        <color rgb="FF000000"/>
        <rFont val="Arial"/>
        <charset val="1"/>
      </rPr>
      <t>UI</t>
    </r>
  </si>
  <si>
    <t>【B端App】代客投保流程改造：选择客户投保步骤新增"被保人信息"环节；提供搜索已有档案（输入姓名/证件号后4位模糊检索）和新建档案两个入口；档案卡片展示：姓名/证件号脱敏/年龄/已投保单数/最近投保日期；选中档案后自动填充被保人信息；可编辑覆盖（修改不影响档案记录，仅影响本次投保）。</t>
  </si>
  <si>
    <t>阶段3
（B端App开发期）</t>
  </si>
  <si>
    <t>模糊搜索防注入（参数化查询）；档案选择与本次投保信息解耦（允许临时覆盖不污染档案）；离线缓存常用被保人</t>
  </si>
  <si>
    <r>
      <rPr>
        <b/>
        <sz val="9"/>
        <color rgb="FF000000"/>
        <rFont val="Arial"/>
        <charset val="1"/>
      </rPr>
      <t>C</t>
    </r>
    <r>
      <rPr>
        <b/>
        <sz val="9"/>
        <color rgb="FF000000"/>
        <rFont val="Noto Sans CJK SC"/>
        <charset val="134"/>
      </rPr>
      <t>端家人管理
与档案双向同步</t>
    </r>
  </si>
  <si>
    <t>【MQ异步同步】C端用户在家人管理新增/修改家庭成员时，发送MQ消息到ins_insured_profile同步队列；同步逻辑：按c_user_id+id_no_hash匹配，存在则UPDATE，不存在则INSERT（source_type=1）；同步失败重试3次，超过写入死信队列告警；B端新建档案关联C端已注册用户时，推送通知询问是否同步到家人管理。</t>
  </si>
  <si>
    <t>阶段4
（C端开发期）</t>
  </si>
  <si>
    <r>
      <rPr>
        <i/>
        <sz val="8"/>
        <color rgb="FF595959"/>
        <rFont val="Arial"/>
        <charset val="1"/>
      </rPr>
      <t>MQ</t>
    </r>
    <r>
      <rPr>
        <i/>
        <sz val="8"/>
        <color rgb="FF595959"/>
        <rFont val="Noto Sans CJK SC"/>
        <charset val="134"/>
      </rPr>
      <t>幂等消费（消息</t>
    </r>
    <r>
      <rPr>
        <i/>
        <sz val="8"/>
        <color rgb="FF595959"/>
        <rFont val="Arial"/>
        <charset val="1"/>
      </rPr>
      <t>ID</t>
    </r>
    <r>
      <rPr>
        <i/>
        <sz val="8"/>
        <color rgb="FF595959"/>
        <rFont val="Noto Sans CJK SC"/>
        <charset val="134"/>
      </rPr>
      <t>去重）；双向同步冲突解决策略（以最新修改时间为准）；死信队列监控告警</t>
    </r>
  </si>
  <si>
    <t>被保人档案
PC管理后台查询</t>
  </si>
  <si>
    <t>【PC管理后台】被保人档案列表查询：支持按机构/业务员/姓名/证件号后4位/来源类型筛选；列表展示姓名脱敏/年龄/关联CRM客户/历史保单数/最近投保日期；点击查看档案详情（含历史投保记录时间轴）；权限控制：管理员可查看全机构，业务员只查自己名下；支持导出（最多1000条，证件号脱敏）。</t>
  </si>
  <si>
    <t>阶段3
（PC后台同步开发）</t>
  </si>
  <si>
    <t>证件号脱敏导出；数据权限行过滤；时间轴展示跨保单类型历史</t>
  </si>
  <si>
    <t>投保保单
关联被保人档案写入</t>
  </si>
  <si>
    <t>在非车险保单、寿险保单录入/出单完成后，同步写入ins_insured_policy_rel关联记录（insured_profile_id + policy_type + policy_id + policy_no + product_id）；在保单VO中新增insured_profile_id字段；保单列表查询联查显示被保人档案编码；历史保单删除时，同步删除/软删除关联记录。</t>
  </si>
  <si>
    <t>阶段5&amp;7
（非车险+寿险保单管理）</t>
  </si>
  <si>
    <r>
      <rPr>
        <i/>
        <sz val="8"/>
        <color rgb="FF595959"/>
        <rFont val="Arial"/>
        <charset val="1"/>
      </rPr>
      <t>@Transactional</t>
    </r>
    <r>
      <rPr>
        <i/>
        <sz val="8"/>
        <color rgb="FF595959"/>
        <rFont val="Noto Sans CJK SC"/>
        <charset val="134"/>
      </rPr>
      <t>保证保单和关联记录同时写入；支持一个保单多个被保人（团险）；关联删除级联策略</t>
    </r>
  </si>
  <si>
    <t>问题三 小计</t>
  </si>
  <si>
    <r>
      <rPr>
        <b/>
        <sz val="10"/>
        <color rgb="FFFFFFFF"/>
        <rFont val="Noto Sans CJK SC"/>
        <charset val="134"/>
      </rPr>
      <t>四、统一问卷引擎（</t>
    </r>
    <r>
      <rPr>
        <b/>
        <sz val="10"/>
        <color rgb="FFFFFFFF"/>
        <rFont val="Arial"/>
        <charset val="1"/>
      </rPr>
      <t>ins-questionnaire-service</t>
    </r>
    <r>
      <rPr>
        <b/>
        <sz val="10"/>
        <color rgb="FFFFFFFF"/>
        <rFont val="Noto Sans CJK SC"/>
        <charset val="134"/>
      </rPr>
      <t>）</t>
    </r>
  </si>
  <si>
    <t>4</t>
  </si>
  <si>
    <t>问题四
统一问卷引擎</t>
  </si>
  <si>
    <r>
      <rPr>
        <sz val="11"/>
        <color theme="1"/>
        <rFont val="宋体"/>
        <charset val="134"/>
      </rPr>
      <t xml:space="preserve">ins-questionnaire-service
</t>
    </r>
    <r>
      <rPr>
        <sz val="11"/>
        <color theme="1"/>
        <rFont val="Noto Sans CJK SC"/>
        <charset val="134"/>
      </rPr>
      <t>微服务骨架</t>
    </r>
    <r>
      <rPr>
        <sz val="11"/>
        <color theme="1"/>
        <rFont val="宋体"/>
        <charset val="134"/>
      </rPr>
      <t>+</t>
    </r>
    <r>
      <rPr>
        <sz val="11"/>
        <color theme="1"/>
        <rFont val="Noto Sans CJK SC"/>
        <charset val="134"/>
      </rPr>
      <t>数据库建表</t>
    </r>
  </si>
  <si>
    <r>
      <rPr>
        <sz val="11"/>
        <color theme="1"/>
        <rFont val="Noto Sans CJK SC"/>
        <charset val="134"/>
      </rPr>
      <t>创建独立微服务模块：</t>
    </r>
    <r>
      <rPr>
        <sz val="11"/>
        <color theme="1"/>
        <rFont val="宋体"/>
        <charset val="134"/>
      </rPr>
      <t>ins-questionnaire-service</t>
    </r>
    <r>
      <rPr>
        <sz val="11"/>
        <color theme="1"/>
        <rFont val="Noto Sans CJK SC"/>
        <charset val="134"/>
      </rPr>
      <t>。统一问卷模板主表</t>
    </r>
    <r>
      <rPr>
        <sz val="11"/>
        <color theme="1"/>
        <rFont val="宋体"/>
        <charset val="134"/>
      </rPr>
      <t>ins_questionnaire_template</t>
    </r>
    <r>
      <rPr>
        <sz val="11"/>
        <color theme="1"/>
        <rFont val="Noto Sans CJK SC"/>
        <charset val="134"/>
      </rPr>
      <t>（含</t>
    </r>
    <r>
      <rPr>
        <sz val="11"/>
        <color theme="1"/>
        <rFont val="宋体"/>
        <charset val="134"/>
      </rPr>
      <t>scene_type</t>
    </r>
    <r>
      <rPr>
        <sz val="11"/>
        <color theme="1"/>
        <rFont val="Noto Sans CJK SC"/>
        <charset val="134"/>
      </rPr>
      <t>区分业务场景：</t>
    </r>
    <r>
      <rPr>
        <sz val="11"/>
        <color theme="1"/>
        <rFont val="宋体"/>
        <charset val="134"/>
      </rPr>
      <t>1</t>
    </r>
    <r>
      <rPr>
        <sz val="11"/>
        <color theme="1"/>
        <rFont val="Noto Sans CJK SC"/>
        <charset val="134"/>
      </rPr>
      <t>健康告知</t>
    </r>
    <r>
      <rPr>
        <sz val="11"/>
        <color theme="1"/>
        <rFont val="宋体"/>
        <charset val="134"/>
      </rPr>
      <t>/2</t>
    </r>
    <r>
      <rPr>
        <sz val="11"/>
        <color theme="1"/>
        <rFont val="Noto Sans CJK SC"/>
        <charset val="134"/>
      </rPr>
      <t>保障规划</t>
    </r>
    <r>
      <rPr>
        <sz val="11"/>
        <color theme="1"/>
        <rFont val="宋体"/>
        <charset val="134"/>
      </rPr>
      <t>/3</t>
    </r>
    <r>
      <rPr>
        <sz val="11"/>
        <color theme="1"/>
        <rFont val="Noto Sans CJK SC"/>
        <charset val="134"/>
      </rPr>
      <t>满意度调查）</t>
    </r>
    <r>
      <rPr>
        <sz val="11"/>
        <color theme="1"/>
        <rFont val="宋体"/>
        <charset val="134"/>
      </rPr>
      <t>+</t>
    </r>
    <r>
      <rPr>
        <sz val="11"/>
        <color theme="1"/>
        <rFont val="Noto Sans CJK SC"/>
        <charset val="134"/>
      </rPr>
      <t>题目表</t>
    </r>
    <r>
      <rPr>
        <sz val="11"/>
        <color theme="1"/>
        <rFont val="宋体"/>
        <charset val="134"/>
      </rPr>
      <t>ins_questionnaire_question</t>
    </r>
    <r>
      <rPr>
        <sz val="11"/>
        <color theme="1"/>
        <rFont val="Noto Sans CJK SC"/>
        <charset val="134"/>
      </rPr>
      <t>；配置</t>
    </r>
    <r>
      <rPr>
        <sz val="11"/>
        <color theme="1"/>
        <rFont val="宋体"/>
        <charset val="134"/>
      </rPr>
      <t>pom</t>
    </r>
    <r>
      <rPr>
        <sz val="11"/>
        <color theme="1"/>
        <rFont val="Noto Sans CJK SC"/>
        <charset val="134"/>
      </rPr>
      <t>依赖、包结构；注册</t>
    </r>
    <r>
      <rPr>
        <sz val="11"/>
        <color theme="1"/>
        <rFont val="宋体"/>
        <charset val="134"/>
      </rPr>
      <t>Nacos</t>
    </r>
    <r>
      <rPr>
        <sz val="11"/>
        <color theme="1"/>
        <rFont val="Noto Sans CJK SC"/>
        <charset val="134"/>
      </rPr>
      <t>；提供</t>
    </r>
    <r>
      <rPr>
        <sz val="11"/>
        <color theme="1"/>
        <rFont val="宋体"/>
        <charset val="134"/>
      </rPr>
      <t>Feign</t>
    </r>
    <r>
      <rPr>
        <sz val="11"/>
        <color theme="1"/>
        <rFont val="Noto Sans CJK SC"/>
        <charset val="134"/>
      </rPr>
      <t>客户端供健康核保服务和</t>
    </r>
    <r>
      <rPr>
        <sz val="11"/>
        <color theme="1"/>
        <rFont val="宋体"/>
        <charset val="134"/>
      </rPr>
      <t>AI</t>
    </r>
    <r>
      <rPr>
        <sz val="11"/>
        <color theme="1"/>
        <rFont val="Noto Sans CJK SC"/>
        <charset val="134"/>
      </rPr>
      <t>中台调用。</t>
    </r>
  </si>
  <si>
    <r>
      <rPr>
        <sz val="11"/>
        <color theme="1"/>
        <rFont val="宋体"/>
        <charset val="134"/>
      </rPr>
      <t>1</t>
    </r>
    <r>
      <rPr>
        <sz val="11"/>
        <color theme="1"/>
        <rFont val="Noto Sans CJK SC"/>
        <charset val="134"/>
      </rPr>
      <t>后端</t>
    </r>
  </si>
  <si>
    <r>
      <rPr>
        <sz val="11"/>
        <color theme="1"/>
        <rFont val="Noto Sans CJK SC"/>
        <charset val="134"/>
      </rPr>
      <t>阶段</t>
    </r>
    <r>
      <rPr>
        <sz val="11"/>
        <color theme="1"/>
        <rFont val="宋体"/>
        <charset val="134"/>
      </rPr>
      <t>1</t>
    </r>
    <r>
      <rPr>
        <sz val="11"/>
        <color theme="1"/>
        <rFont val="Noto Sans CJK SC"/>
        <charset val="134"/>
      </rPr>
      <t>末</t>
    </r>
    <r>
      <rPr>
        <sz val="11"/>
        <color theme="1"/>
        <rFont val="宋体"/>
        <charset val="134"/>
      </rPr>
      <t xml:space="preserve">
</t>
    </r>
    <r>
      <rPr>
        <sz val="11"/>
        <color theme="1"/>
        <rFont val="Noto Sans CJK SC"/>
        <charset val="134"/>
      </rPr>
      <t>（与</t>
    </r>
    <r>
      <rPr>
        <sz val="11"/>
        <color theme="1"/>
        <rFont val="宋体"/>
        <charset val="134"/>
      </rPr>
      <t>#1</t>
    </r>
    <r>
      <rPr>
        <sz val="11"/>
        <color theme="1"/>
        <rFont val="Noto Sans CJK SC"/>
        <charset val="134"/>
      </rPr>
      <t>同步）</t>
    </r>
  </si>
  <si>
    <r>
      <rPr>
        <sz val="11"/>
        <color theme="1"/>
        <rFont val="Noto Sans CJK SC"/>
        <charset val="134"/>
      </rPr>
      <t>微服务骨架标准化；统一</t>
    </r>
    <r>
      <rPr>
        <sz val="11"/>
        <color theme="1"/>
        <rFont val="宋体"/>
        <charset val="134"/>
      </rPr>
      <t>scene_type</t>
    </r>
    <r>
      <rPr>
        <sz val="11"/>
        <color theme="1"/>
        <rFont val="Noto Sans CJK SC"/>
        <charset val="134"/>
      </rPr>
      <t>枚举；多业务域共用设计</t>
    </r>
  </si>
  <si>
    <t>5</t>
  </si>
  <si>
    <r>
      <rPr>
        <sz val="11"/>
        <color theme="1"/>
        <rFont val="Noto Sans CJK SC"/>
        <charset val="134"/>
      </rPr>
      <t>统一问卷模板管理后台
（替换原任务</t>
    </r>
    <r>
      <rPr>
        <sz val="11"/>
        <color theme="1"/>
        <rFont val="宋体"/>
        <charset val="134"/>
      </rPr>
      <t>#2</t>
    </r>
    <r>
      <rPr>
        <sz val="11"/>
        <color theme="1"/>
        <rFont val="Noto Sans CJK SC"/>
        <charset val="134"/>
      </rPr>
      <t>）</t>
    </r>
  </si>
  <si>
    <r>
      <rPr>
        <sz val="11"/>
        <color theme="1"/>
        <rFont val="Noto Sans CJK SC"/>
        <charset val="134"/>
      </rPr>
      <t>【</t>
    </r>
    <r>
      <rPr>
        <sz val="11"/>
        <color theme="1"/>
        <rFont val="宋体"/>
        <charset val="134"/>
      </rPr>
      <t>PC</t>
    </r>
    <r>
      <rPr>
        <sz val="11"/>
        <color theme="1"/>
        <rFont val="Noto Sans CJK SC"/>
        <charset val="134"/>
      </rPr>
      <t>管理后台】统一问卷模板管理入口，通过</t>
    </r>
    <r>
      <rPr>
        <sz val="11"/>
        <color theme="1"/>
        <rFont val="宋体"/>
        <charset val="134"/>
      </rPr>
      <t>scene_type</t>
    </r>
    <r>
      <rPr>
        <sz val="11"/>
        <color theme="1"/>
        <rFont val="Noto Sans CJK SC"/>
        <charset val="134"/>
      </rPr>
      <t>字段区分：健康告知问卷（原任务</t>
    </r>
    <r>
      <rPr>
        <sz val="11"/>
        <color theme="1"/>
        <rFont val="宋体"/>
        <charset val="134"/>
      </rPr>
      <t>#2</t>
    </r>
    <r>
      <rPr>
        <sz val="11"/>
        <color theme="1"/>
        <rFont val="Noto Sans CJK SC"/>
        <charset val="134"/>
      </rPr>
      <t>）</t>
    </r>
    <r>
      <rPr>
        <sz val="11"/>
        <color theme="1"/>
        <rFont val="宋体"/>
        <charset val="134"/>
      </rPr>
      <t>/AI</t>
    </r>
    <r>
      <rPr>
        <sz val="11"/>
        <color theme="1"/>
        <rFont val="Noto Sans CJK SC"/>
        <charset val="134"/>
      </rPr>
      <t>保障规划问卷</t>
    </r>
    <r>
      <rPr>
        <sz val="11"/>
        <color theme="1"/>
        <rFont val="宋体"/>
        <charset val="134"/>
      </rPr>
      <t>/</t>
    </r>
    <r>
      <rPr>
        <sz val="11"/>
        <color theme="1"/>
        <rFont val="Noto Sans CJK SC"/>
        <charset val="134"/>
      </rPr>
      <t>满意度调查。</t>
    </r>
    <r>
      <rPr>
        <sz val="11"/>
        <color theme="1"/>
        <rFont val="宋体"/>
        <charset val="134"/>
      </rPr>
      <t>CRUD</t>
    </r>
    <r>
      <rPr>
        <sz val="11"/>
        <color theme="1"/>
        <rFont val="Noto Sans CJK SC"/>
        <charset val="134"/>
      </rPr>
      <t>模板</t>
    </r>
    <r>
      <rPr>
        <sz val="11"/>
        <color theme="1"/>
        <rFont val="宋体"/>
        <charset val="134"/>
      </rPr>
      <t>+</t>
    </r>
    <r>
      <rPr>
        <sz val="11"/>
        <color theme="1"/>
        <rFont val="Noto Sans CJK SC"/>
        <charset val="134"/>
      </rPr>
      <t>题目；跳题逻辑</t>
    </r>
    <r>
      <rPr>
        <sz val="11"/>
        <color theme="1"/>
        <rFont val="宋体"/>
        <charset val="134"/>
      </rPr>
      <t>JSON</t>
    </r>
    <r>
      <rPr>
        <sz val="11"/>
        <color theme="1"/>
        <rFont val="Noto Sans CJK SC"/>
        <charset val="134"/>
      </rPr>
      <t>可视化配置（</t>
    </r>
    <r>
      <rPr>
        <sz val="11"/>
        <color theme="1"/>
        <rFont val="宋体"/>
        <charset val="134"/>
      </rPr>
      <t>Aviator</t>
    </r>
    <r>
      <rPr>
        <sz val="11"/>
        <color theme="1"/>
        <rFont val="Noto Sans CJK SC"/>
        <charset val="134"/>
      </rPr>
      <t>表达式引擎）；版本管理；复用跳题逻辑组件，原计划两套独立系统合并为一套。此任务替换原</t>
    </r>
    <r>
      <rPr>
        <sz val="11"/>
        <color theme="1"/>
        <rFont val="宋体"/>
        <charset val="134"/>
      </rPr>
      <t>#2</t>
    </r>
    <r>
      <rPr>
        <sz val="11"/>
        <color theme="1"/>
        <rFont val="Noto Sans CJK SC"/>
        <charset val="134"/>
      </rPr>
      <t>并节省约</t>
    </r>
    <r>
      <rPr>
        <sz val="11"/>
        <color theme="1"/>
        <rFont val="宋体"/>
        <charset val="134"/>
      </rPr>
      <t>1</t>
    </r>
    <r>
      <rPr>
        <sz val="11"/>
        <color theme="1"/>
        <rFont val="Noto Sans CJK SC"/>
        <charset val="134"/>
      </rPr>
      <t>天工时。</t>
    </r>
  </si>
  <si>
    <r>
      <rPr>
        <sz val="11"/>
        <color theme="1"/>
        <rFont val="宋体"/>
        <charset val="134"/>
      </rPr>
      <t>1</t>
    </r>
    <r>
      <rPr>
        <sz val="11"/>
        <color theme="1"/>
        <rFont val="Noto Sans CJK SC"/>
        <charset val="134"/>
      </rPr>
      <t>前端</t>
    </r>
    <r>
      <rPr>
        <sz val="11"/>
        <color theme="1"/>
        <rFont val="宋体"/>
        <charset val="134"/>
      </rPr>
      <t>+1</t>
    </r>
    <r>
      <rPr>
        <sz val="11"/>
        <color theme="1"/>
        <rFont val="Noto Sans CJK SC"/>
        <charset val="134"/>
      </rPr>
      <t>后端</t>
    </r>
  </si>
  <si>
    <r>
      <rPr>
        <sz val="11"/>
        <color theme="1"/>
        <rFont val="Noto Sans CJK SC"/>
        <charset val="134"/>
      </rPr>
      <t>阶段</t>
    </r>
    <r>
      <rPr>
        <sz val="11"/>
        <color theme="1"/>
        <rFont val="宋体"/>
        <charset val="134"/>
      </rPr>
      <t>2</t>
    </r>
    <r>
      <rPr>
        <sz val="11"/>
        <color theme="1"/>
        <rFont val="Noto Sans CJK SC"/>
        <charset val="134"/>
      </rPr>
      <t>前</t>
    </r>
    <r>
      <rPr>
        <sz val="11"/>
        <color theme="1"/>
        <rFont val="宋体"/>
        <charset val="134"/>
      </rPr>
      <t xml:space="preserve">
</t>
    </r>
    <r>
      <rPr>
        <sz val="11"/>
        <color theme="1"/>
        <rFont val="Noto Sans CJK SC"/>
        <charset val="134"/>
      </rPr>
      <t>（替换原任务</t>
    </r>
    <r>
      <rPr>
        <sz val="11"/>
        <color theme="1"/>
        <rFont val="宋体"/>
        <charset val="134"/>
      </rPr>
      <t>#2</t>
    </r>
    <r>
      <rPr>
        <sz val="11"/>
        <color theme="1"/>
        <rFont val="Noto Sans CJK SC"/>
        <charset val="134"/>
      </rPr>
      <t>）</t>
    </r>
  </si>
  <si>
    <r>
      <rPr>
        <sz val="11"/>
        <color theme="1"/>
        <rFont val="宋体"/>
        <charset val="134"/>
      </rPr>
      <t>JSON</t>
    </r>
    <r>
      <rPr>
        <sz val="11"/>
        <color theme="1"/>
        <rFont val="Noto Sans CJK SC"/>
        <charset val="134"/>
      </rPr>
      <t>跳题逻辑可视化编辑器；版本锁定机制；统一</t>
    </r>
    <r>
      <rPr>
        <sz val="11"/>
        <color theme="1"/>
        <rFont val="宋体"/>
        <charset val="134"/>
      </rPr>
      <t>scene_type</t>
    </r>
    <r>
      <rPr>
        <sz val="11"/>
        <color theme="1"/>
        <rFont val="Noto Sans CJK SC"/>
        <charset val="134"/>
      </rPr>
      <t>入口替代两个独立入口</t>
    </r>
  </si>
  <si>
    <t>6</t>
  </si>
  <si>
    <r>
      <rPr>
        <sz val="11"/>
        <color theme="1"/>
        <rFont val="Noto Sans CJK SC"/>
        <charset val="134"/>
      </rPr>
      <t>跳题引擎</t>
    </r>
    <r>
      <rPr>
        <sz val="11"/>
        <color theme="1"/>
        <rFont val="宋体"/>
        <charset val="134"/>
      </rPr>
      <t>+</t>
    </r>
    <r>
      <rPr>
        <sz val="11"/>
        <color theme="1"/>
        <rFont val="Noto Sans CJK SC"/>
        <charset val="134"/>
      </rPr>
      <t>作答</t>
    </r>
    <r>
      <rPr>
        <sz val="11"/>
        <color theme="1"/>
        <rFont val="宋体"/>
        <charset val="134"/>
      </rPr>
      <t xml:space="preserve">API
</t>
    </r>
    <r>
      <rPr>
        <sz val="11"/>
        <color theme="1"/>
        <rFont val="Noto Sans CJK SC"/>
        <charset val="134"/>
      </rPr>
      <t>统一实现</t>
    </r>
  </si>
  <si>
    <r>
      <rPr>
        <sz val="11"/>
        <color theme="1"/>
        <rFont val="Noto Sans CJK SC"/>
        <charset val="134"/>
      </rPr>
      <t>在</t>
    </r>
    <r>
      <rPr>
        <sz val="11"/>
        <color theme="1"/>
        <rFont val="宋体"/>
        <charset val="134"/>
      </rPr>
      <t>ins-questionnaire-service</t>
    </r>
    <r>
      <rPr>
        <sz val="11"/>
        <color theme="1"/>
        <rFont val="Noto Sans CJK SC"/>
        <charset val="134"/>
      </rPr>
      <t>中统一实现跳题逻辑引擎（</t>
    </r>
    <r>
      <rPr>
        <sz val="11"/>
        <color theme="1"/>
        <rFont val="宋体"/>
        <charset val="134"/>
      </rPr>
      <t>Aviator</t>
    </r>
    <r>
      <rPr>
        <sz val="11"/>
        <color theme="1"/>
        <rFont val="Noto Sans CJK SC"/>
        <charset val="134"/>
      </rPr>
      <t>表达式计算）和作答</t>
    </r>
    <r>
      <rPr>
        <sz val="11"/>
        <color theme="1"/>
        <rFont val="宋体"/>
        <charset val="134"/>
      </rPr>
      <t>API</t>
    </r>
    <r>
      <rPr>
        <sz val="11"/>
        <color theme="1"/>
        <rFont val="Noto Sans CJK SC"/>
        <charset val="134"/>
      </rPr>
      <t>（包含暂存</t>
    </r>
    <r>
      <rPr>
        <sz val="11"/>
        <color theme="1"/>
        <rFont val="宋体"/>
        <charset val="134"/>
      </rPr>
      <t>/</t>
    </r>
    <r>
      <rPr>
        <sz val="11"/>
        <color theme="1"/>
        <rFont val="Noto Sans CJK SC"/>
        <charset val="134"/>
      </rPr>
      <t>断点续答</t>
    </r>
    <r>
      <rPr>
        <sz val="11"/>
        <color theme="1"/>
        <rFont val="宋体"/>
        <charset val="134"/>
      </rPr>
      <t>/</t>
    </r>
    <r>
      <rPr>
        <sz val="11"/>
        <color theme="1"/>
        <rFont val="Noto Sans CJK SC"/>
        <charset val="134"/>
      </rPr>
      <t>提交接口）；两个调用方（健康核保服务</t>
    </r>
    <r>
      <rPr>
        <sz val="11"/>
        <color theme="1"/>
        <rFont val="宋体"/>
        <charset val="134"/>
      </rPr>
      <t>/AI</t>
    </r>
    <r>
      <rPr>
        <sz val="11"/>
        <color theme="1"/>
        <rFont val="Noto Sans CJK SC"/>
        <charset val="134"/>
      </rPr>
      <t>中台）只需传</t>
    </r>
    <r>
      <rPr>
        <sz val="11"/>
        <color theme="1"/>
        <rFont val="宋体"/>
        <charset val="134"/>
      </rPr>
      <t>scene_type+productId</t>
    </r>
    <r>
      <rPr>
        <sz val="11"/>
        <color theme="1"/>
        <rFont val="Noto Sans CJK SC"/>
        <charset val="134"/>
      </rPr>
      <t>获取匹配模板，作答提交后各自在自己域内处理业务逻辑（核保决策</t>
    </r>
    <r>
      <rPr>
        <sz val="11"/>
        <color theme="1"/>
        <rFont val="宋体"/>
        <charset val="134"/>
      </rPr>
      <t>/</t>
    </r>
    <r>
      <rPr>
        <sz val="11"/>
        <color theme="1"/>
        <rFont val="Noto Sans CJK SC"/>
        <charset val="134"/>
      </rPr>
      <t>保障分析）。</t>
    </r>
  </si>
  <si>
    <r>
      <rPr>
        <sz val="11"/>
        <color theme="1"/>
        <rFont val="Noto Sans CJK SC"/>
        <charset val="134"/>
      </rPr>
      <t>阶段</t>
    </r>
    <r>
      <rPr>
        <sz val="11"/>
        <color theme="1"/>
        <rFont val="宋体"/>
        <charset val="134"/>
      </rPr>
      <t>2</t>
    </r>
  </si>
  <si>
    <r>
      <rPr>
        <sz val="11"/>
        <color theme="1"/>
        <rFont val="宋体"/>
        <charset val="134"/>
      </rPr>
      <t>Aviator</t>
    </r>
    <r>
      <rPr>
        <sz val="11"/>
        <color theme="1"/>
        <rFont val="Noto Sans CJK SC"/>
        <charset val="134"/>
      </rPr>
      <t>表达式引擎；暂存断点续答</t>
    </r>
    <r>
      <rPr>
        <sz val="11"/>
        <color theme="1"/>
        <rFont val="宋体"/>
        <charset val="134"/>
      </rPr>
      <t>Redis</t>
    </r>
    <r>
      <rPr>
        <sz val="11"/>
        <color theme="1"/>
        <rFont val="Noto Sans CJK SC"/>
        <charset val="134"/>
      </rPr>
      <t>存储；幂等提交防重复</t>
    </r>
  </si>
  <si>
    <t>7</t>
  </si>
  <si>
    <t>健康核保服务
接入统一问卷引擎</t>
  </si>
  <si>
    <r>
      <rPr>
        <sz val="11"/>
        <color theme="1"/>
        <rFont val="Noto Sans CJK SC"/>
        <charset val="134"/>
      </rPr>
      <t>修改</t>
    </r>
    <r>
      <rPr>
        <sz val="11"/>
        <color theme="1"/>
        <rFont val="宋体"/>
        <charset val="134"/>
      </rPr>
      <t>health-underwriting-service</t>
    </r>
    <r>
      <rPr>
        <sz val="11"/>
        <color theme="1"/>
        <rFont val="Noto Sans CJK SC"/>
        <charset val="134"/>
      </rPr>
      <t>：问卷模板管理改为通过</t>
    </r>
    <r>
      <rPr>
        <sz val="11"/>
        <color theme="1"/>
        <rFont val="宋体"/>
        <charset val="134"/>
      </rPr>
      <t>Feign</t>
    </r>
    <r>
      <rPr>
        <sz val="11"/>
        <color theme="1"/>
        <rFont val="Noto Sans CJK SC"/>
        <charset val="134"/>
      </rPr>
      <t>调用</t>
    </r>
    <r>
      <rPr>
        <sz val="11"/>
        <color theme="1"/>
        <rFont val="宋体"/>
        <charset val="134"/>
      </rPr>
      <t>ins-questionnaire-service</t>
    </r>
    <r>
      <rPr>
        <sz val="11"/>
        <color theme="1"/>
        <rFont val="Noto Sans CJK SC"/>
        <charset val="134"/>
      </rPr>
      <t>（筛选</t>
    </r>
    <r>
      <rPr>
        <sz val="11"/>
        <color theme="1"/>
        <rFont val="宋体"/>
        <charset val="134"/>
      </rPr>
      <t>scene_type=1</t>
    </r>
    <r>
      <rPr>
        <sz val="11"/>
        <color theme="1"/>
        <rFont val="Noto Sans CJK SC"/>
        <charset val="134"/>
      </rPr>
      <t>）；移除</t>
    </r>
    <r>
      <rPr>
        <sz val="11"/>
        <color theme="1"/>
        <rFont val="宋体"/>
        <charset val="134"/>
      </rPr>
      <t>health-underwriting-service</t>
    </r>
    <r>
      <rPr>
        <sz val="11"/>
        <color theme="1"/>
        <rFont val="Noto Sans CJK SC"/>
        <charset val="134"/>
      </rPr>
      <t>自有的问卷模板表和渲染逻辑；保留核保决策引擎（核保规则计算仍在自己服务内）。与原任务</t>
    </r>
    <r>
      <rPr>
        <sz val="11"/>
        <color theme="1"/>
        <rFont val="宋体"/>
        <charset val="134"/>
      </rPr>
      <t>#2</t>
    </r>
    <r>
      <rPr>
        <sz val="11"/>
        <color theme="1"/>
        <rFont val="Noto Sans CJK SC"/>
        <charset val="134"/>
      </rPr>
      <t>的工作量合并处理，不新增工时。</t>
    </r>
  </si>
  <si>
    <r>
      <rPr>
        <sz val="11"/>
        <color theme="1"/>
        <rFont val="宋体"/>
        <charset val="134"/>
      </rPr>
      <t>Feign</t>
    </r>
    <r>
      <rPr>
        <sz val="11"/>
        <color theme="1"/>
        <rFont val="Noto Sans CJK SC"/>
        <charset val="134"/>
      </rPr>
      <t>调用替换本地逻辑；接口兼容性处理</t>
    </r>
  </si>
  <si>
    <t>8</t>
  </si>
  <si>
    <r>
      <rPr>
        <sz val="11"/>
        <color theme="1"/>
        <rFont val="宋体"/>
        <charset val="134"/>
      </rPr>
      <t>AI</t>
    </r>
    <r>
      <rPr>
        <sz val="11"/>
        <color theme="1"/>
        <rFont val="Noto Sans CJK SC"/>
        <charset val="134"/>
      </rPr>
      <t>中台
接入统一问卷引擎</t>
    </r>
  </si>
  <si>
    <r>
      <rPr>
        <sz val="11"/>
        <color theme="1"/>
        <rFont val="Noto Sans CJK SC"/>
        <charset val="134"/>
      </rPr>
      <t>修改阶段</t>
    </r>
    <r>
      <rPr>
        <sz val="11"/>
        <color theme="1"/>
        <rFont val="宋体"/>
        <charset val="134"/>
      </rPr>
      <t>4 AI</t>
    </r>
    <r>
      <rPr>
        <sz val="11"/>
        <color theme="1"/>
        <rFont val="Noto Sans CJK SC"/>
        <charset val="134"/>
      </rPr>
      <t>智能中台：问卷模板管理改为调用</t>
    </r>
    <r>
      <rPr>
        <sz val="11"/>
        <color theme="1"/>
        <rFont val="宋体"/>
        <charset val="134"/>
      </rPr>
      <t>ins-questionnaire-service</t>
    </r>
    <r>
      <rPr>
        <sz val="11"/>
        <color theme="1"/>
        <rFont val="Noto Sans CJK SC"/>
        <charset val="134"/>
      </rPr>
      <t>（筛选</t>
    </r>
    <r>
      <rPr>
        <sz val="11"/>
        <color theme="1"/>
        <rFont val="宋体"/>
        <charset val="134"/>
      </rPr>
      <t>scene_type=2</t>
    </r>
    <r>
      <rPr>
        <sz val="11"/>
        <color theme="1"/>
        <rFont val="Noto Sans CJK SC"/>
        <charset val="134"/>
      </rPr>
      <t>）；前端问卷渲染组件复用健康核保</t>
    </r>
    <r>
      <rPr>
        <sz val="11"/>
        <color theme="1"/>
        <rFont val="宋体"/>
        <charset val="134"/>
      </rPr>
      <t>H5</t>
    </r>
    <r>
      <rPr>
        <sz val="11"/>
        <color theme="1"/>
        <rFont val="Noto Sans CJK SC"/>
        <charset val="134"/>
      </rPr>
      <t>组件（传入</t>
    </r>
    <r>
      <rPr>
        <sz val="11"/>
        <color theme="1"/>
        <rFont val="宋体"/>
        <charset val="134"/>
      </rPr>
      <t>scene_type=2</t>
    </r>
    <r>
      <rPr>
        <sz val="11"/>
        <color theme="1"/>
        <rFont val="Noto Sans CJK SC"/>
        <charset val="134"/>
      </rPr>
      <t>参数区分）；</t>
    </r>
    <r>
      <rPr>
        <sz val="11"/>
        <color theme="1"/>
        <rFont val="宋体"/>
        <charset val="134"/>
      </rPr>
      <t>AI</t>
    </r>
    <r>
      <rPr>
        <sz val="11"/>
        <color theme="1"/>
        <rFont val="Noto Sans CJK SC"/>
        <charset val="134"/>
      </rPr>
      <t>中台原独立开发的问卷功能（约</t>
    </r>
    <r>
      <rPr>
        <sz val="11"/>
        <color theme="1"/>
        <rFont val="宋体"/>
        <charset val="134"/>
      </rPr>
      <t>3.5</t>
    </r>
    <r>
      <rPr>
        <sz val="11"/>
        <color theme="1"/>
        <rFont val="Noto Sans CJK SC"/>
        <charset val="134"/>
      </rPr>
      <t>天工时）可节省</t>
    </r>
    <r>
      <rPr>
        <sz val="11"/>
        <color theme="1"/>
        <rFont val="宋体"/>
        <charset val="134"/>
      </rPr>
      <t>2</t>
    </r>
    <r>
      <rPr>
        <sz val="11"/>
        <color theme="1"/>
        <rFont val="Noto Sans CJK SC"/>
        <charset val="134"/>
      </rPr>
      <t>天。</t>
    </r>
  </si>
  <si>
    <r>
      <rPr>
        <sz val="11"/>
        <color theme="1"/>
        <rFont val="Noto Sans CJK SC"/>
        <charset val="134"/>
      </rPr>
      <t>阶段</t>
    </r>
    <r>
      <rPr>
        <sz val="11"/>
        <color theme="1"/>
        <rFont val="宋体"/>
        <charset val="134"/>
      </rPr>
      <t>4</t>
    </r>
  </si>
  <si>
    <r>
      <rPr>
        <sz val="11"/>
        <color theme="1"/>
        <rFont val="宋体"/>
        <charset val="134"/>
      </rPr>
      <t>scene_type</t>
    </r>
    <r>
      <rPr>
        <sz val="11"/>
        <color theme="1"/>
        <rFont val="Noto Sans CJK SC"/>
        <charset val="134"/>
      </rPr>
      <t>参数传递；前端组件复用</t>
    </r>
    <r>
      <rPr>
        <sz val="11"/>
        <color theme="1"/>
        <rFont val="宋体"/>
        <charset val="134"/>
      </rPr>
      <t>health-underwriting H5</t>
    </r>
    <r>
      <rPr>
        <sz val="11"/>
        <color theme="1"/>
        <rFont val="Noto Sans CJK SC"/>
        <charset val="134"/>
      </rPr>
      <t>渲染</t>
    </r>
  </si>
  <si>
    <t>问题四 小计</t>
  </si>
  <si>
    <r>
      <rPr>
        <b/>
        <sz val="10"/>
        <color rgb="FFFFFFFF"/>
        <rFont val="Noto Sans CJK SC"/>
        <charset val="134"/>
      </rPr>
      <t>五、统一保费试算引擎（</t>
    </r>
    <r>
      <rPr>
        <b/>
        <sz val="10"/>
        <color rgb="FFFFFFFF"/>
        <rFont val="Arial"/>
        <charset val="1"/>
      </rPr>
      <t>premium-calculation-service</t>
    </r>
    <r>
      <rPr>
        <b/>
        <sz val="10"/>
        <color rgb="FFFFFFFF"/>
        <rFont val="Noto Sans CJK SC"/>
        <charset val="134"/>
      </rPr>
      <t>）</t>
    </r>
  </si>
  <si>
    <t>9</t>
  </si>
  <si>
    <t>问题五
保费试算引擎</t>
  </si>
  <si>
    <r>
      <rPr>
        <sz val="11"/>
        <color theme="1"/>
        <rFont val="宋体"/>
        <charset val="134"/>
      </rPr>
      <t xml:space="preserve">premium-calculation-service
</t>
    </r>
    <r>
      <rPr>
        <sz val="11"/>
        <color theme="1"/>
        <rFont val="Noto Sans CJK SC"/>
        <charset val="134"/>
      </rPr>
      <t>骨架</t>
    </r>
    <r>
      <rPr>
        <sz val="11"/>
        <color theme="1"/>
        <rFont val="宋体"/>
        <charset val="134"/>
      </rPr>
      <t>+</t>
    </r>
    <r>
      <rPr>
        <sz val="11"/>
        <color theme="1"/>
        <rFont val="Noto Sans CJK SC"/>
        <charset val="134"/>
      </rPr>
      <t>通用</t>
    </r>
    <r>
      <rPr>
        <sz val="11"/>
        <color theme="1"/>
        <rFont val="宋体"/>
        <charset val="134"/>
      </rPr>
      <t>Groovy</t>
    </r>
    <r>
      <rPr>
        <sz val="11"/>
        <color theme="1"/>
        <rFont val="Noto Sans CJK SC"/>
        <charset val="134"/>
      </rPr>
      <t>引擎</t>
    </r>
  </si>
  <si>
    <r>
      <rPr>
        <sz val="11"/>
        <color theme="1"/>
        <rFont val="Noto Sans CJK SC"/>
        <charset val="134"/>
      </rPr>
      <t>创建独立微服务</t>
    </r>
    <r>
      <rPr>
        <sz val="11"/>
        <color theme="1"/>
        <rFont val="宋体"/>
        <charset val="134"/>
      </rPr>
      <t>premium-calculation-service</t>
    </r>
    <r>
      <rPr>
        <sz val="11"/>
        <color theme="1"/>
        <rFont val="Noto Sans CJK SC"/>
        <charset val="134"/>
      </rPr>
      <t>：统一</t>
    </r>
    <r>
      <rPr>
        <sz val="11"/>
        <color theme="1"/>
        <rFont val="宋体"/>
        <charset val="134"/>
      </rPr>
      <t>PremiumCalcRequest VO</t>
    </r>
    <r>
      <rPr>
        <sz val="11"/>
        <color theme="1"/>
        <rFont val="Noto Sans CJK SC"/>
        <charset val="134"/>
      </rPr>
      <t>（支持</t>
    </r>
    <r>
      <rPr>
        <sz val="11"/>
        <color theme="1"/>
        <rFont val="宋体"/>
        <charset val="134"/>
      </rPr>
      <t>CAR/NON_CAR/LIFE</t>
    </r>
    <r>
      <rPr>
        <sz val="11"/>
        <color theme="1"/>
        <rFont val="Noto Sans CJK SC"/>
        <charset val="134"/>
      </rPr>
      <t>三种险种参数）；</t>
    </r>
    <r>
      <rPr>
        <sz val="11"/>
        <color theme="1"/>
        <rFont val="宋体"/>
        <charset val="134"/>
      </rPr>
      <t>Groovy</t>
    </r>
    <r>
      <rPr>
        <sz val="11"/>
        <color theme="1"/>
        <rFont val="Noto Sans CJK SC"/>
        <charset val="134"/>
      </rPr>
      <t>脚本执行器（超时</t>
    </r>
    <r>
      <rPr>
        <sz val="11"/>
        <color theme="1"/>
        <rFont val="宋体"/>
        <charset val="134"/>
      </rPr>
      <t>5</t>
    </r>
    <r>
      <rPr>
        <sz val="11"/>
        <color theme="1"/>
        <rFont val="Noto Sans CJK SC"/>
        <charset val="134"/>
      </rPr>
      <t>秒，沙箱隔离）；费率表区间查询服务</t>
    </r>
    <r>
      <rPr>
        <sz val="11"/>
        <color theme="1"/>
        <rFont val="宋体"/>
        <charset val="134"/>
      </rPr>
      <t>RateTableService</t>
    </r>
    <r>
      <rPr>
        <sz val="11"/>
        <color theme="1"/>
        <rFont val="Noto Sans CJK SC"/>
        <charset val="134"/>
      </rPr>
      <t>；</t>
    </r>
    <r>
      <rPr>
        <sz val="11"/>
        <color theme="1"/>
        <rFont val="宋体"/>
        <charset val="134"/>
      </rPr>
      <t>Redis</t>
    </r>
    <r>
      <rPr>
        <sz val="11"/>
        <color theme="1"/>
        <rFont val="Noto Sans CJK SC"/>
        <charset val="134"/>
      </rPr>
      <t>缓存管理（统一</t>
    </r>
    <r>
      <rPr>
        <sz val="11"/>
        <color theme="1"/>
        <rFont val="宋体"/>
        <charset val="134"/>
      </rPr>
      <t>Key</t>
    </r>
    <r>
      <rPr>
        <sz val="11"/>
        <color theme="1"/>
        <rFont val="Noto Sans CJK SC"/>
        <charset val="134"/>
      </rPr>
      <t>规则：</t>
    </r>
    <r>
      <rPr>
        <sz val="11"/>
        <color theme="1"/>
        <rFont val="宋体"/>
        <charset val="134"/>
      </rPr>
      <t>quotation:{type}:{productId}:{params_hash}</t>
    </r>
    <r>
      <rPr>
        <sz val="11"/>
        <color theme="1"/>
        <rFont val="Noto Sans CJK SC"/>
        <charset val="134"/>
      </rPr>
      <t>，</t>
    </r>
    <r>
      <rPr>
        <sz val="11"/>
        <color theme="1"/>
        <rFont val="宋体"/>
        <charset val="134"/>
      </rPr>
      <t>TTL 24</t>
    </r>
    <r>
      <rPr>
        <sz val="11"/>
        <color theme="1"/>
        <rFont val="Noto Sans CJK SC"/>
        <charset val="134"/>
      </rPr>
      <t>小时）；试算历史记录服务。</t>
    </r>
  </si>
  <si>
    <r>
      <rPr>
        <sz val="11"/>
        <color theme="1"/>
        <rFont val="Noto Sans CJK SC"/>
        <charset val="134"/>
      </rPr>
      <t>阶段</t>
    </r>
    <r>
      <rPr>
        <sz val="11"/>
        <color theme="1"/>
        <rFont val="宋体"/>
        <charset val="134"/>
      </rPr>
      <t xml:space="preserve">1
</t>
    </r>
    <r>
      <rPr>
        <sz val="11"/>
        <color theme="1"/>
        <rFont val="Noto Sans CJK SC"/>
        <charset val="134"/>
      </rPr>
      <t>（与车险并行）</t>
    </r>
  </si>
  <si>
    <r>
      <rPr>
        <sz val="11"/>
        <color theme="1"/>
        <rFont val="宋体"/>
        <charset val="134"/>
      </rPr>
      <t>Groovy</t>
    </r>
    <r>
      <rPr>
        <sz val="11"/>
        <color theme="1"/>
        <rFont val="Noto Sans CJK SC"/>
        <charset val="134"/>
      </rPr>
      <t>沙箱隔离防注入；统一参数</t>
    </r>
    <r>
      <rPr>
        <sz val="11"/>
        <color theme="1"/>
        <rFont val="宋体"/>
        <charset val="134"/>
      </rPr>
      <t>VO</t>
    </r>
    <r>
      <rPr>
        <sz val="11"/>
        <color theme="1"/>
        <rFont val="Noto Sans CJK SC"/>
        <charset val="134"/>
      </rPr>
      <t>设计；</t>
    </r>
    <r>
      <rPr>
        <sz val="11"/>
        <color theme="1"/>
        <rFont val="宋体"/>
        <charset val="134"/>
      </rPr>
      <t>Redis</t>
    </r>
    <r>
      <rPr>
        <sz val="11"/>
        <color theme="1"/>
        <rFont val="Noto Sans CJK SC"/>
        <charset val="134"/>
      </rPr>
      <t>缓存</t>
    </r>
    <r>
      <rPr>
        <sz val="11"/>
        <color theme="1"/>
        <rFont val="宋体"/>
        <charset val="134"/>
      </rPr>
      <t>Key</t>
    </r>
    <r>
      <rPr>
        <sz val="11"/>
        <color theme="1"/>
        <rFont val="Noto Sans CJK SC"/>
        <charset val="134"/>
      </rPr>
      <t>规范化；</t>
    </r>
    <r>
      <rPr>
        <sz val="11"/>
        <color theme="1"/>
        <rFont val="宋体"/>
        <charset val="134"/>
      </rPr>
      <t>Feign</t>
    </r>
    <r>
      <rPr>
        <sz val="11"/>
        <color theme="1"/>
        <rFont val="Noto Sans CJK SC"/>
        <charset val="134"/>
      </rPr>
      <t>接口定义</t>
    </r>
  </si>
  <si>
    <t>10</t>
  </si>
  <si>
    <t>非车险试算
改造接入统一引擎</t>
  </si>
  <si>
    <r>
      <rPr>
        <sz val="11"/>
        <color theme="1"/>
        <rFont val="Noto Sans CJK SC"/>
        <charset val="134"/>
      </rPr>
      <t>将阶段</t>
    </r>
    <r>
      <rPr>
        <sz val="11"/>
        <color theme="1"/>
        <rFont val="宋体"/>
        <charset val="134"/>
      </rPr>
      <t>2</t>
    </r>
    <r>
      <rPr>
        <sz val="11"/>
        <color theme="1"/>
        <rFont val="Noto Sans CJK SC"/>
        <charset val="134"/>
      </rPr>
      <t>非车险保费试算（原独立</t>
    </r>
    <r>
      <rPr>
        <sz val="11"/>
        <color theme="1"/>
        <rFont val="宋体"/>
        <charset val="134"/>
      </rPr>
      <t>Groovy</t>
    </r>
    <r>
      <rPr>
        <sz val="11"/>
        <color theme="1"/>
        <rFont val="Noto Sans CJK SC"/>
        <charset val="134"/>
      </rPr>
      <t>引擎实现）改造为调用</t>
    </r>
    <r>
      <rPr>
        <sz val="11"/>
        <color theme="1"/>
        <rFont val="宋体"/>
        <charset val="134"/>
      </rPr>
      <t>premium-calculation-service</t>
    </r>
    <r>
      <rPr>
        <sz val="11"/>
        <color theme="1"/>
        <rFont val="Noto Sans CJK SC"/>
        <charset val="134"/>
      </rPr>
      <t>；传入</t>
    </r>
    <r>
      <rPr>
        <sz val="11"/>
        <color theme="1"/>
        <rFont val="宋体"/>
        <charset val="134"/>
      </rPr>
      <t>insuranceType=NON_CAR+productId+</t>
    </r>
    <r>
      <rPr>
        <sz val="11"/>
        <color theme="1"/>
        <rFont val="Noto Sans CJK SC"/>
        <charset val="134"/>
      </rPr>
      <t>核保参数；移除</t>
    </r>
    <r>
      <rPr>
        <sz val="11"/>
        <color theme="1"/>
        <rFont val="宋体"/>
        <charset val="134"/>
      </rPr>
      <t>noncar-service</t>
    </r>
    <r>
      <rPr>
        <sz val="11"/>
        <color theme="1"/>
        <rFont val="Noto Sans CJK SC"/>
        <charset val="134"/>
      </rPr>
      <t>内部的</t>
    </r>
    <r>
      <rPr>
        <sz val="11"/>
        <color theme="1"/>
        <rFont val="宋体"/>
        <charset val="134"/>
      </rPr>
      <t>Groovy</t>
    </r>
    <r>
      <rPr>
        <sz val="11"/>
        <color theme="1"/>
        <rFont val="Noto Sans CJK SC"/>
        <charset val="134"/>
      </rPr>
      <t>脚本执行器和费率表查询逻辑；统一缓存</t>
    </r>
    <r>
      <rPr>
        <sz val="11"/>
        <color theme="1"/>
        <rFont val="宋体"/>
        <charset val="134"/>
      </rPr>
      <t>TTL</t>
    </r>
    <r>
      <rPr>
        <sz val="11"/>
        <color theme="1"/>
        <rFont val="Noto Sans CJK SC"/>
        <charset val="134"/>
      </rPr>
      <t>策略；接口响应格式对齐。</t>
    </r>
  </si>
  <si>
    <r>
      <rPr>
        <sz val="11"/>
        <color theme="1"/>
        <rFont val="宋体"/>
        <charset val="134"/>
      </rPr>
      <t>Feign</t>
    </r>
    <r>
      <rPr>
        <sz val="11"/>
        <color theme="1"/>
        <rFont val="Noto Sans CJK SC"/>
        <charset val="134"/>
      </rPr>
      <t>接口对接；原接口兼容过渡期处理；缓存</t>
    </r>
    <r>
      <rPr>
        <sz val="11"/>
        <color theme="1"/>
        <rFont val="宋体"/>
        <charset val="134"/>
      </rPr>
      <t>Key</t>
    </r>
    <r>
      <rPr>
        <sz val="11"/>
        <color theme="1"/>
        <rFont val="Noto Sans CJK SC"/>
        <charset val="134"/>
      </rPr>
      <t>迁移</t>
    </r>
  </si>
  <si>
    <t>11</t>
  </si>
  <si>
    <t>寿险试算
改造接入统一引擎</t>
  </si>
  <si>
    <r>
      <rPr>
        <sz val="11"/>
        <color theme="1"/>
        <rFont val="Noto Sans CJK SC"/>
        <charset val="134"/>
      </rPr>
      <t>将阶段</t>
    </r>
    <r>
      <rPr>
        <sz val="11"/>
        <color theme="1"/>
        <rFont val="宋体"/>
        <charset val="134"/>
      </rPr>
      <t>8</t>
    </r>
    <r>
      <rPr>
        <sz val="11"/>
        <color theme="1"/>
        <rFont val="Noto Sans CJK SC"/>
        <charset val="134"/>
      </rPr>
      <t>寿险试算改造接入</t>
    </r>
    <r>
      <rPr>
        <sz val="11"/>
        <color theme="1"/>
        <rFont val="宋体"/>
        <charset val="134"/>
      </rPr>
      <t>premium-calculation-service</t>
    </r>
    <r>
      <rPr>
        <sz val="11"/>
        <color theme="1"/>
        <rFont val="Noto Sans CJK SC"/>
        <charset val="134"/>
      </rPr>
      <t>（</t>
    </r>
    <r>
      <rPr>
        <sz val="11"/>
        <color theme="1"/>
        <rFont val="宋体"/>
        <charset val="134"/>
      </rPr>
      <t>insuranceType=LIFE</t>
    </r>
    <r>
      <rPr>
        <sz val="11"/>
        <color theme="1"/>
        <rFont val="Noto Sans CJK SC"/>
        <charset val="134"/>
      </rPr>
      <t>）；扩展寿险专属参数（缴费期</t>
    </r>
    <r>
      <rPr>
        <sz val="11"/>
        <color theme="1"/>
        <rFont val="宋体"/>
        <charset val="134"/>
      </rPr>
      <t>/</t>
    </r>
    <r>
      <rPr>
        <sz val="11"/>
        <color theme="1"/>
        <rFont val="Noto Sans CJK SC"/>
        <charset val="134"/>
      </rPr>
      <t>保障期</t>
    </r>
    <r>
      <rPr>
        <sz val="11"/>
        <color theme="1"/>
        <rFont val="宋体"/>
        <charset val="134"/>
      </rPr>
      <t>/</t>
    </r>
    <r>
      <rPr>
        <sz val="11"/>
        <color theme="1"/>
        <rFont val="Noto Sans CJK SC"/>
        <charset val="134"/>
      </rPr>
      <t>性别</t>
    </r>
    <r>
      <rPr>
        <sz val="11"/>
        <color theme="1"/>
        <rFont val="宋体"/>
        <charset val="134"/>
      </rPr>
      <t>/</t>
    </r>
    <r>
      <rPr>
        <sz val="11"/>
        <color theme="1"/>
        <rFont val="Noto Sans CJK SC"/>
        <charset val="134"/>
      </rPr>
      <t>是否吸烟</t>
    </r>
    <r>
      <rPr>
        <sz val="11"/>
        <color theme="1"/>
        <rFont val="宋体"/>
        <charset val="134"/>
      </rPr>
      <t>/</t>
    </r>
    <r>
      <rPr>
        <sz val="11"/>
        <color theme="1"/>
        <rFont val="Noto Sans CJK SC"/>
        <charset val="134"/>
      </rPr>
      <t>职业类别）；费率表区间查询复用</t>
    </r>
    <r>
      <rPr>
        <sz val="11"/>
        <color theme="1"/>
        <rFont val="宋体"/>
        <charset val="134"/>
      </rPr>
      <t>RateTableService</t>
    </r>
    <r>
      <rPr>
        <sz val="11"/>
        <color theme="1"/>
        <rFont val="Noto Sans CJK SC"/>
        <charset val="134"/>
      </rPr>
      <t>；</t>
    </r>
    <r>
      <rPr>
        <sz val="11"/>
        <color theme="1"/>
        <rFont val="宋体"/>
        <charset val="134"/>
      </rPr>
      <t>C</t>
    </r>
    <r>
      <rPr>
        <sz val="11"/>
        <color theme="1"/>
        <rFont val="Noto Sans CJK SC"/>
        <charset val="134"/>
      </rPr>
      <t>端寿险费率表</t>
    </r>
    <r>
      <rPr>
        <sz val="11"/>
        <color theme="1"/>
        <rFont val="宋体"/>
        <charset val="134"/>
      </rPr>
      <t>"</t>
    </r>
    <r>
      <rPr>
        <sz val="11"/>
        <color theme="1"/>
        <rFont val="Noto Sans CJK SC"/>
        <charset val="134"/>
      </rPr>
      <t>前端实时计算</t>
    </r>
    <r>
      <rPr>
        <sz val="11"/>
        <color theme="1"/>
        <rFont val="宋体"/>
        <charset val="134"/>
      </rPr>
      <t>"</t>
    </r>
    <r>
      <rPr>
        <sz val="11"/>
        <color theme="1"/>
        <rFont val="Noto Sans CJK SC"/>
        <charset val="134"/>
      </rPr>
      <t>方案改为调用统一接口，消除前后端计算不一致风险。</t>
    </r>
  </si>
  <si>
    <r>
      <rPr>
        <sz val="11"/>
        <color theme="1"/>
        <rFont val="Noto Sans CJK SC"/>
        <charset val="134"/>
      </rPr>
      <t>阶段</t>
    </r>
    <r>
      <rPr>
        <sz val="11"/>
        <color theme="1"/>
        <rFont val="宋体"/>
        <charset val="134"/>
      </rPr>
      <t>8</t>
    </r>
  </si>
  <si>
    <r>
      <rPr>
        <sz val="11"/>
        <color theme="1"/>
        <rFont val="Noto Sans CJK SC"/>
        <charset val="134"/>
      </rPr>
      <t>寿险参数扩展</t>
    </r>
    <r>
      <rPr>
        <sz val="11"/>
        <color theme="1"/>
        <rFont val="宋体"/>
        <charset val="134"/>
      </rPr>
      <t>extParams Map</t>
    </r>
    <r>
      <rPr>
        <sz val="11"/>
        <color theme="1"/>
        <rFont val="Noto Sans CJK SC"/>
        <charset val="134"/>
      </rPr>
      <t>；前端计算改为调统一接口；保证响应</t>
    </r>
    <r>
      <rPr>
        <sz val="11"/>
        <color theme="1"/>
        <rFont val="宋体"/>
        <charset val="134"/>
      </rPr>
      <t>&lt;100ms</t>
    </r>
  </si>
  <si>
    <t>试算历史记录
统一服务</t>
  </si>
  <si>
    <r>
      <rPr>
        <sz val="11"/>
        <color theme="1"/>
        <rFont val="Noto Sans CJK SC"/>
        <charset val="134"/>
      </rPr>
      <t>在</t>
    </r>
    <r>
      <rPr>
        <sz val="11"/>
        <color theme="1"/>
        <rFont val="宋体"/>
        <charset val="134"/>
      </rPr>
      <t>premium-calculation-service</t>
    </r>
    <r>
      <rPr>
        <sz val="11"/>
        <color theme="1"/>
        <rFont val="Noto Sans CJK SC"/>
        <charset val="134"/>
      </rPr>
      <t>内提供统一试算历史记录</t>
    </r>
    <r>
      <rPr>
        <sz val="11"/>
        <color theme="1"/>
        <rFont val="宋体"/>
        <charset val="134"/>
      </rPr>
      <t>API</t>
    </r>
    <r>
      <rPr>
        <sz val="11"/>
        <color theme="1"/>
        <rFont val="Noto Sans CJK SC"/>
        <charset val="134"/>
      </rPr>
      <t>（</t>
    </r>
    <r>
      <rPr>
        <sz val="11"/>
        <color theme="1"/>
        <rFont val="宋体"/>
        <charset val="134"/>
      </rPr>
      <t>trial_calc_history</t>
    </r>
    <r>
      <rPr>
        <sz val="11"/>
        <color theme="1"/>
        <rFont val="Noto Sans CJK SC"/>
        <charset val="134"/>
      </rPr>
      <t>表）；字段：险种类型</t>
    </r>
    <r>
      <rPr>
        <sz val="11"/>
        <color theme="1"/>
        <rFont val="宋体"/>
        <charset val="134"/>
      </rPr>
      <t>/</t>
    </r>
    <r>
      <rPr>
        <sz val="11"/>
        <color theme="1"/>
        <rFont val="Noto Sans CJK SC"/>
        <charset val="134"/>
      </rPr>
      <t>产品</t>
    </r>
    <r>
      <rPr>
        <sz val="11"/>
        <color theme="1"/>
        <rFont val="宋体"/>
        <charset val="134"/>
      </rPr>
      <t>ID/</t>
    </r>
    <r>
      <rPr>
        <sz val="11"/>
        <color theme="1"/>
        <rFont val="Noto Sans CJK SC"/>
        <charset val="134"/>
      </rPr>
      <t>输入参数</t>
    </r>
    <r>
      <rPr>
        <sz val="11"/>
        <color theme="1"/>
        <rFont val="宋体"/>
        <charset val="134"/>
      </rPr>
      <t>Hash/</t>
    </r>
    <r>
      <rPr>
        <sz val="11"/>
        <color theme="1"/>
        <rFont val="Noto Sans CJK SC"/>
        <charset val="134"/>
      </rPr>
      <t>保费结果</t>
    </r>
    <r>
      <rPr>
        <sz val="11"/>
        <color theme="1"/>
        <rFont val="宋体"/>
        <charset val="134"/>
      </rPr>
      <t>/</t>
    </r>
    <r>
      <rPr>
        <sz val="11"/>
        <color theme="1"/>
        <rFont val="Noto Sans CJK SC"/>
        <charset val="134"/>
      </rPr>
      <t>用户</t>
    </r>
    <r>
      <rPr>
        <sz val="11"/>
        <color theme="1"/>
        <rFont val="宋体"/>
        <charset val="134"/>
      </rPr>
      <t>ID/</t>
    </r>
    <r>
      <rPr>
        <sz val="11"/>
        <color theme="1"/>
        <rFont val="Noto Sans CJK SC"/>
        <charset val="134"/>
      </rPr>
      <t>渠道（</t>
    </r>
    <r>
      <rPr>
        <sz val="11"/>
        <color theme="1"/>
        <rFont val="宋体"/>
        <charset val="134"/>
      </rPr>
      <t>B</t>
    </r>
    <r>
      <rPr>
        <sz val="11"/>
        <color theme="1"/>
        <rFont val="Noto Sans CJK SC"/>
        <charset val="134"/>
      </rPr>
      <t>端</t>
    </r>
    <r>
      <rPr>
        <sz val="11"/>
        <color theme="1"/>
        <rFont val="宋体"/>
        <charset val="134"/>
      </rPr>
      <t>/C</t>
    </r>
    <r>
      <rPr>
        <sz val="11"/>
        <color theme="1"/>
        <rFont val="Noto Sans CJK SC"/>
        <charset val="134"/>
      </rPr>
      <t>端</t>
    </r>
    <r>
      <rPr>
        <sz val="11"/>
        <color theme="1"/>
        <rFont val="宋体"/>
        <charset val="134"/>
      </rPr>
      <t>/PC</t>
    </r>
    <r>
      <rPr>
        <sz val="11"/>
        <color theme="1"/>
        <rFont val="Noto Sans CJK SC"/>
        <charset val="134"/>
      </rPr>
      <t>端）</t>
    </r>
    <r>
      <rPr>
        <sz val="11"/>
        <color theme="1"/>
        <rFont val="宋体"/>
        <charset val="134"/>
      </rPr>
      <t>/</t>
    </r>
    <r>
      <rPr>
        <sz val="11"/>
        <color theme="1"/>
        <rFont val="Noto Sans CJK SC"/>
        <charset val="134"/>
      </rPr>
      <t>时间；各端试算均写入同一记录，为用户提供历史对比查看；支持</t>
    </r>
    <r>
      <rPr>
        <sz val="11"/>
        <color theme="1"/>
        <rFont val="宋体"/>
        <charset val="134"/>
      </rPr>
      <t>B</t>
    </r>
    <r>
      <rPr>
        <sz val="11"/>
        <color theme="1"/>
        <rFont val="Noto Sans CJK SC"/>
        <charset val="134"/>
      </rPr>
      <t>端计划书制作时快速调取历史试算结果。</t>
    </r>
  </si>
  <si>
    <r>
      <rPr>
        <sz val="11"/>
        <color theme="1"/>
        <rFont val="Noto Sans CJK SC"/>
        <charset val="134"/>
      </rPr>
      <t>多险种统一历史记录；参数</t>
    </r>
    <r>
      <rPr>
        <sz val="11"/>
        <color theme="1"/>
        <rFont val="宋体"/>
        <charset val="134"/>
      </rPr>
      <t>Hash</t>
    </r>
    <r>
      <rPr>
        <sz val="11"/>
        <color theme="1"/>
        <rFont val="Noto Sans CJK SC"/>
        <charset val="134"/>
      </rPr>
      <t>生成（去重）；渠道标记</t>
    </r>
  </si>
  <si>
    <t>问题五 小计</t>
  </si>
  <si>
    <r>
      <rPr>
        <b/>
        <sz val="10"/>
        <color rgb="FFFFFFFF"/>
        <rFont val="Noto Sans CJK SC"/>
        <charset val="134"/>
      </rPr>
      <t>六、统一消息中台（</t>
    </r>
    <r>
      <rPr>
        <b/>
        <sz val="10"/>
        <color rgb="FFFFFFFF"/>
        <rFont val="Arial"/>
        <charset val="1"/>
      </rPr>
      <t>message-center-service</t>
    </r>
    <r>
      <rPr>
        <b/>
        <sz val="10"/>
        <color rgb="FFFFFFFF"/>
        <rFont val="Noto Sans CJK SC"/>
        <charset val="134"/>
      </rPr>
      <t>）</t>
    </r>
  </si>
  <si>
    <t>13</t>
  </si>
  <si>
    <t>问题六
统一消息中台</t>
  </si>
  <si>
    <r>
      <rPr>
        <sz val="11"/>
        <color theme="1"/>
        <rFont val="宋体"/>
        <charset val="134"/>
      </rPr>
      <t xml:space="preserve">message-center-service
</t>
    </r>
    <r>
      <rPr>
        <sz val="11"/>
        <color theme="1"/>
        <rFont val="Noto Sans CJK SC"/>
        <charset val="134"/>
      </rPr>
      <t>骨架</t>
    </r>
    <r>
      <rPr>
        <sz val="11"/>
        <color theme="1"/>
        <rFont val="宋体"/>
        <charset val="134"/>
      </rPr>
      <t>+</t>
    </r>
    <r>
      <rPr>
        <sz val="11"/>
        <color theme="1"/>
        <rFont val="Noto Sans CJK SC"/>
        <charset val="134"/>
      </rPr>
      <t>统一发送接口</t>
    </r>
  </si>
  <si>
    <r>
      <rPr>
        <sz val="11"/>
        <color theme="1"/>
        <rFont val="Noto Sans CJK SC"/>
        <charset val="134"/>
      </rPr>
      <t>基于</t>
    </r>
    <r>
      <rPr>
        <sz val="11"/>
        <color theme="1"/>
        <rFont val="宋体"/>
        <charset val="134"/>
      </rPr>
      <t>yudao-cloud</t>
    </r>
    <r>
      <rPr>
        <sz val="11"/>
        <color theme="1"/>
        <rFont val="Noto Sans CJK SC"/>
        <charset val="134"/>
      </rPr>
      <t>框架</t>
    </r>
    <r>
      <rPr>
        <sz val="11"/>
        <color theme="1"/>
        <rFont val="宋体"/>
        <charset val="134"/>
      </rPr>
      <t>system</t>
    </r>
    <r>
      <rPr>
        <sz val="11"/>
        <color theme="1"/>
        <rFont val="Noto Sans CJK SC"/>
        <charset val="134"/>
      </rPr>
      <t>模块扩展，创建统一消息中台：消息模板管理（</t>
    </r>
    <r>
      <rPr>
        <sz val="11"/>
        <color theme="1"/>
        <rFont val="宋体"/>
        <charset val="134"/>
      </rPr>
      <t>PC</t>
    </r>
    <r>
      <rPr>
        <sz val="11"/>
        <color theme="1"/>
        <rFont val="Noto Sans CJK SC"/>
        <charset val="134"/>
      </rPr>
      <t>后台配置多渠道模板，模板编码唯一）；统一消息发送</t>
    </r>
    <r>
      <rPr>
        <sz val="11"/>
        <color theme="1"/>
        <rFont val="宋体"/>
        <charset val="134"/>
      </rPr>
      <t>API</t>
    </r>
    <r>
      <rPr>
        <sz val="11"/>
        <color theme="1"/>
        <rFont val="Noto Sans CJK SC"/>
        <charset val="134"/>
      </rPr>
      <t>（业务方只需传：接收人</t>
    </r>
    <r>
      <rPr>
        <sz val="11"/>
        <color theme="1"/>
        <rFont val="宋体"/>
        <charset val="134"/>
      </rPr>
      <t>+</t>
    </r>
    <r>
      <rPr>
        <sz val="11"/>
        <color theme="1"/>
        <rFont val="Noto Sans CJK SC"/>
        <charset val="134"/>
      </rPr>
      <t>模板编码</t>
    </r>
    <r>
      <rPr>
        <sz val="11"/>
        <color theme="1"/>
        <rFont val="宋体"/>
        <charset val="134"/>
      </rPr>
      <t>+</t>
    </r>
    <r>
      <rPr>
        <sz val="11"/>
        <color theme="1"/>
        <rFont val="Noto Sans CJK SC"/>
        <charset val="134"/>
      </rPr>
      <t>模板变量</t>
    </r>
    <r>
      <rPr>
        <sz val="11"/>
        <color theme="1"/>
        <rFont val="宋体"/>
        <charset val="134"/>
      </rPr>
      <t>Map</t>
    </r>
    <r>
      <rPr>
        <sz val="11"/>
        <color theme="1"/>
        <rFont val="Noto Sans CJK SC"/>
        <charset val="134"/>
      </rPr>
      <t>，服务内路由到短信</t>
    </r>
    <r>
      <rPr>
        <sz val="11"/>
        <color theme="1"/>
        <rFont val="宋体"/>
        <charset val="134"/>
      </rPr>
      <t>/App Push/</t>
    </r>
    <r>
      <rPr>
        <sz val="11"/>
        <color theme="1"/>
        <rFont val="Noto Sans CJK SC"/>
        <charset val="134"/>
      </rPr>
      <t>微信服务号</t>
    </r>
    <r>
      <rPr>
        <sz val="11"/>
        <color theme="1"/>
        <rFont val="宋体"/>
        <charset val="134"/>
      </rPr>
      <t>/</t>
    </r>
    <r>
      <rPr>
        <sz val="11"/>
        <color theme="1"/>
        <rFont val="Noto Sans CJK SC"/>
        <charset val="134"/>
      </rPr>
      <t>站内信）；发送频率限制（</t>
    </r>
    <r>
      <rPr>
        <sz val="11"/>
        <color theme="1"/>
        <rFont val="宋体"/>
        <charset val="134"/>
      </rPr>
      <t>Redis</t>
    </r>
    <r>
      <rPr>
        <sz val="11"/>
        <color theme="1"/>
        <rFont val="Noto Sans CJK SC"/>
        <charset val="134"/>
      </rPr>
      <t>限频：同手机号</t>
    </r>
    <r>
      <rPr>
        <sz val="11"/>
        <color theme="1"/>
        <rFont val="宋体"/>
        <charset val="134"/>
      </rPr>
      <t>+</t>
    </r>
    <r>
      <rPr>
        <sz val="11"/>
        <color theme="1"/>
        <rFont val="Noto Sans CJK SC"/>
        <charset val="134"/>
      </rPr>
      <t>模板</t>
    </r>
    <r>
      <rPr>
        <sz val="11"/>
        <color theme="1"/>
        <rFont val="宋体"/>
        <charset val="134"/>
      </rPr>
      <t>+</t>
    </r>
    <r>
      <rPr>
        <sz val="11"/>
        <color theme="1"/>
        <rFont val="Noto Sans CJK SC"/>
        <charset val="134"/>
      </rPr>
      <t>时段每日上限可配置）；消息发送记录（便于追踪和重发）；未读数</t>
    </r>
    <r>
      <rPr>
        <sz val="11"/>
        <color theme="1"/>
        <rFont val="宋体"/>
        <charset val="134"/>
      </rPr>
      <t>WebSocket</t>
    </r>
    <r>
      <rPr>
        <sz val="11"/>
        <color theme="1"/>
        <rFont val="Noto Sans CJK SC"/>
        <charset val="134"/>
      </rPr>
      <t>推送。</t>
    </r>
  </si>
  <si>
    <r>
      <rPr>
        <sz val="11"/>
        <color theme="1"/>
        <rFont val="Noto Sans CJK SC"/>
        <charset val="134"/>
      </rPr>
      <t>阶段</t>
    </r>
    <r>
      <rPr>
        <sz val="11"/>
        <color theme="1"/>
        <rFont val="宋体"/>
        <charset val="134"/>
      </rPr>
      <t>2</t>
    </r>
    <r>
      <rPr>
        <sz val="11"/>
        <color theme="1"/>
        <rFont val="Noto Sans CJK SC"/>
        <charset val="134"/>
      </rPr>
      <t>前</t>
    </r>
  </si>
  <si>
    <r>
      <rPr>
        <sz val="11"/>
        <color theme="1"/>
        <rFont val="宋体"/>
        <charset val="134"/>
      </rPr>
      <t>yudao system</t>
    </r>
    <r>
      <rPr>
        <sz val="11"/>
        <color theme="1"/>
        <rFont val="Noto Sans CJK SC"/>
        <charset val="134"/>
      </rPr>
      <t>模块扩展；多渠道路由策略；</t>
    </r>
    <r>
      <rPr>
        <sz val="11"/>
        <color theme="1"/>
        <rFont val="宋体"/>
        <charset val="134"/>
      </rPr>
      <t>Redis</t>
    </r>
    <r>
      <rPr>
        <sz val="11"/>
        <color theme="1"/>
        <rFont val="Noto Sans CJK SC"/>
        <charset val="134"/>
      </rPr>
      <t>限频</t>
    </r>
    <r>
      <rPr>
        <sz val="11"/>
        <color theme="1"/>
        <rFont val="宋体"/>
        <charset val="134"/>
      </rPr>
      <t>Lua</t>
    </r>
    <r>
      <rPr>
        <sz val="11"/>
        <color theme="1"/>
        <rFont val="Noto Sans CJK SC"/>
        <charset val="134"/>
      </rPr>
      <t>脚本；发送记录幂等</t>
    </r>
  </si>
  <si>
    <t>14</t>
  </si>
  <si>
    <r>
      <rPr>
        <sz val="11"/>
        <color theme="1"/>
        <rFont val="Noto Sans CJK SC"/>
        <charset val="134"/>
      </rPr>
      <t>各模块改造
接入统一消息</t>
    </r>
    <r>
      <rPr>
        <sz val="11"/>
        <color theme="1"/>
        <rFont val="宋体"/>
        <charset val="134"/>
      </rPr>
      <t>API</t>
    </r>
  </si>
  <si>
    <r>
      <rPr>
        <sz val="11"/>
        <color theme="1"/>
        <rFont val="Noto Sans CJK SC"/>
        <charset val="134"/>
      </rPr>
      <t>逐步将各模块的直接</t>
    </r>
    <r>
      <rPr>
        <sz val="11"/>
        <color theme="1"/>
        <rFont val="宋体"/>
        <charset val="134"/>
      </rPr>
      <t>SDK</t>
    </r>
    <r>
      <rPr>
        <sz val="11"/>
        <color theme="1"/>
        <rFont val="Noto Sans CJK SC"/>
        <charset val="134"/>
      </rPr>
      <t>调用（阿里云短信</t>
    </r>
    <r>
      <rPr>
        <sz val="11"/>
        <color theme="1"/>
        <rFont val="宋体"/>
        <charset val="134"/>
      </rPr>
      <t>SDK/JPush</t>
    </r>
    <r>
      <rPr>
        <sz val="11"/>
        <color theme="1"/>
        <rFont val="Noto Sans CJK SC"/>
        <charset val="134"/>
      </rPr>
      <t>推送</t>
    </r>
    <r>
      <rPr>
        <sz val="11"/>
        <color theme="1"/>
        <rFont val="宋体"/>
        <charset val="134"/>
      </rPr>
      <t>SDK/</t>
    </r>
    <r>
      <rPr>
        <sz val="11"/>
        <color theme="1"/>
        <rFont val="Noto Sans CJK SC"/>
        <charset val="134"/>
      </rPr>
      <t>微信</t>
    </r>
    <r>
      <rPr>
        <sz val="11"/>
        <color theme="1"/>
        <rFont val="宋体"/>
        <charset val="134"/>
      </rPr>
      <t>API</t>
    </r>
    <r>
      <rPr>
        <sz val="11"/>
        <color theme="1"/>
        <rFont val="Noto Sans CJK SC"/>
        <charset val="134"/>
      </rPr>
      <t>）替换为调用</t>
    </r>
    <r>
      <rPr>
        <sz val="11"/>
        <color theme="1"/>
        <rFont val="宋体"/>
        <charset val="134"/>
      </rPr>
      <t>message-center-service</t>
    </r>
    <r>
      <rPr>
        <sz val="11"/>
        <color theme="1"/>
        <rFont val="Noto Sans CJK SC"/>
        <charset val="134"/>
      </rPr>
      <t>统一接口；各模块只需引入消息中台</t>
    </r>
    <r>
      <rPr>
        <sz val="11"/>
        <color theme="1"/>
        <rFont val="宋体"/>
        <charset val="134"/>
      </rPr>
      <t>Feign</t>
    </r>
    <r>
      <rPr>
        <sz val="11"/>
        <color theme="1"/>
        <rFont val="Noto Sans CJK SC"/>
        <charset val="134"/>
      </rPr>
      <t>客户端</t>
    </r>
    <r>
      <rPr>
        <sz val="11"/>
        <color theme="1"/>
        <rFont val="宋体"/>
        <charset val="134"/>
      </rPr>
      <t>+</t>
    </r>
    <r>
      <rPr>
        <sz val="11"/>
        <color theme="1"/>
        <rFont val="Noto Sans CJK SC"/>
        <charset val="134"/>
      </rPr>
      <t>传入模板编码；存量直接调用代码作为降级熔断保留；改造优先级：高频消息（续保提醒</t>
    </r>
    <r>
      <rPr>
        <sz val="11"/>
        <color theme="1"/>
        <rFont val="宋体"/>
        <charset val="134"/>
      </rPr>
      <t>/</t>
    </r>
    <r>
      <rPr>
        <sz val="11"/>
        <color theme="1"/>
        <rFont val="Noto Sans CJK SC"/>
        <charset val="134"/>
      </rPr>
      <t>核保结论</t>
    </r>
    <r>
      <rPr>
        <sz val="11"/>
        <color theme="1"/>
        <rFont val="宋体"/>
        <charset val="134"/>
      </rPr>
      <t>/</t>
    </r>
    <r>
      <rPr>
        <sz val="11"/>
        <color theme="1"/>
        <rFont val="Noto Sans CJK SC"/>
        <charset val="134"/>
      </rPr>
      <t>保单生效）优先改造。</t>
    </r>
  </si>
  <si>
    <t>对应阶段逐步改造</t>
  </si>
  <si>
    <r>
      <rPr>
        <sz val="11"/>
        <color theme="1"/>
        <rFont val="宋体"/>
        <charset val="134"/>
      </rPr>
      <t>Feign</t>
    </r>
    <r>
      <rPr>
        <sz val="11"/>
        <color theme="1"/>
        <rFont val="Noto Sans CJK SC"/>
        <charset val="134"/>
      </rPr>
      <t>调用替换；降级熔断策略（消息中台不可用时降级直发）；模板编码规范文档</t>
    </r>
  </si>
  <si>
    <t>问题六 小计</t>
  </si>
  <si>
    <r>
      <rPr>
        <b/>
        <sz val="10"/>
        <color rgb="FFFFFFFF"/>
        <rFont val="Noto Sans CJK SC"/>
        <charset val="134"/>
      </rPr>
      <t>七、</t>
    </r>
    <r>
      <rPr>
        <b/>
        <sz val="10"/>
        <color rgb="FFFFFFFF"/>
        <rFont val="Arial"/>
        <charset val="1"/>
      </rPr>
      <t>OSS</t>
    </r>
    <r>
      <rPr>
        <b/>
        <sz val="10"/>
        <color rgb="FFFFFFFF"/>
        <rFont val="Noto Sans CJK SC"/>
        <charset val="134"/>
      </rPr>
      <t>文件存储规范（目录约定）</t>
    </r>
  </si>
  <si>
    <t>15</t>
  </si>
  <si>
    <r>
      <rPr>
        <sz val="11"/>
        <color theme="1"/>
        <rFont val="Noto Sans CJK SC"/>
        <charset val="134"/>
      </rPr>
      <t xml:space="preserve">问题七
</t>
    </r>
    <r>
      <rPr>
        <sz val="11"/>
        <color theme="1"/>
        <rFont val="宋体"/>
        <charset val="134"/>
      </rPr>
      <t>OSS</t>
    </r>
    <r>
      <rPr>
        <sz val="11"/>
        <color theme="1"/>
        <rFont val="Noto Sans CJK SC"/>
        <charset val="134"/>
      </rPr>
      <t>规范</t>
    </r>
  </si>
  <si>
    <r>
      <rPr>
        <sz val="11"/>
        <color theme="1"/>
        <rFont val="宋体"/>
        <charset val="134"/>
      </rPr>
      <t>OSS</t>
    </r>
    <r>
      <rPr>
        <sz val="11"/>
        <color theme="1"/>
        <rFont val="Noto Sans CJK SC"/>
        <charset val="134"/>
      </rPr>
      <t>目录规范
架构约定文档</t>
    </r>
  </si>
  <si>
    <r>
      <rPr>
        <sz val="11"/>
        <color theme="1"/>
        <rFont val="Noto Sans CJK SC"/>
        <charset val="134"/>
      </rPr>
      <t>制定全平台</t>
    </r>
    <r>
      <rPr>
        <sz val="11"/>
        <color theme="1"/>
        <rFont val="宋体"/>
        <charset val="134"/>
      </rPr>
      <t>OSS Bucket</t>
    </r>
    <r>
      <rPr>
        <sz val="11"/>
        <color theme="1"/>
        <rFont val="Noto Sans CJK SC"/>
        <charset val="134"/>
      </rPr>
      <t>目录结构规范文档（存代码仓库</t>
    </r>
    <r>
      <rPr>
        <sz val="11"/>
        <color theme="1"/>
        <rFont val="宋体"/>
        <charset val="134"/>
      </rPr>
      <t>docs</t>
    </r>
    <r>
      <rPr>
        <sz val="11"/>
        <color theme="1"/>
        <rFont val="Noto Sans CJK SC"/>
        <charset val="134"/>
      </rPr>
      <t>目录）：</t>
    </r>
    <r>
      <rPr>
        <sz val="11"/>
        <color theme="1"/>
        <rFont val="宋体"/>
        <charset val="134"/>
      </rPr>
      <t>/{tenant_id}/policy-attachment/</t>
    </r>
    <r>
      <rPr>
        <sz val="11"/>
        <color theme="1"/>
        <rFont val="Noto Sans CJK SC"/>
        <charset val="134"/>
      </rPr>
      <t>（保单影像件，私有，长期）</t>
    </r>
    <r>
      <rPr>
        <sz val="11"/>
        <color theme="1"/>
        <rFont val="宋体"/>
        <charset val="134"/>
      </rPr>
      <t>/ insured-doc/</t>
    </r>
    <r>
      <rPr>
        <sz val="11"/>
        <color theme="1"/>
        <rFont val="Noto Sans CJK SC"/>
        <charset val="134"/>
      </rPr>
      <t>（被保人证件，私有，长期）</t>
    </r>
    <r>
      <rPr>
        <sz val="11"/>
        <color theme="1"/>
        <rFont val="宋体"/>
        <charset val="134"/>
      </rPr>
      <t>/double-record/</t>
    </r>
    <r>
      <rPr>
        <sz val="11"/>
        <color theme="1"/>
        <rFont val="Noto Sans CJK SC"/>
        <charset val="134"/>
      </rPr>
      <t>（双录视频，私有，</t>
    </r>
    <r>
      <rPr>
        <sz val="11"/>
        <color theme="1"/>
        <rFont val="宋体"/>
        <charset val="134"/>
      </rPr>
      <t>30</t>
    </r>
    <r>
      <rPr>
        <sz val="11"/>
        <color theme="1"/>
        <rFont val="Noto Sans CJK SC"/>
        <charset val="134"/>
      </rPr>
      <t>天生命周期）</t>
    </r>
    <r>
      <rPr>
        <sz val="11"/>
        <color theme="1"/>
        <rFont val="宋体"/>
        <charset val="134"/>
      </rPr>
      <t>/product-image/</t>
    </r>
    <r>
      <rPr>
        <sz val="11"/>
        <color theme="1"/>
        <rFont val="Noto Sans CJK SC"/>
        <charset val="134"/>
      </rPr>
      <t>（产品图，公开读）</t>
    </r>
    <r>
      <rPr>
        <sz val="11"/>
        <color theme="1"/>
        <rFont val="宋体"/>
        <charset val="134"/>
      </rPr>
      <t>/report/</t>
    </r>
    <r>
      <rPr>
        <sz val="11"/>
        <color theme="1"/>
        <rFont val="Noto Sans CJK SC"/>
        <charset val="134"/>
      </rPr>
      <t>（报告</t>
    </r>
    <r>
      <rPr>
        <sz val="11"/>
        <color theme="1"/>
        <rFont val="宋体"/>
        <charset val="134"/>
      </rPr>
      <t>PDF</t>
    </r>
    <r>
      <rPr>
        <sz val="11"/>
        <color theme="1"/>
        <rFont val="Noto Sans CJK SC"/>
        <charset val="134"/>
      </rPr>
      <t>，私有，</t>
    </r>
    <r>
      <rPr>
        <sz val="11"/>
        <color theme="1"/>
        <rFont val="宋体"/>
        <charset val="134"/>
      </rPr>
      <t>24h</t>
    </r>
    <r>
      <rPr>
        <sz val="11"/>
        <color theme="1"/>
        <rFont val="Noto Sans CJK SC"/>
        <charset val="134"/>
      </rPr>
      <t>签名</t>
    </r>
    <r>
      <rPr>
        <sz val="11"/>
        <color theme="1"/>
        <rFont val="宋体"/>
        <charset val="134"/>
      </rPr>
      <t>URL</t>
    </r>
    <r>
      <rPr>
        <sz val="11"/>
        <color theme="1"/>
        <rFont val="Noto Sans CJK SC"/>
        <charset val="134"/>
      </rPr>
      <t>）</t>
    </r>
    <r>
      <rPr>
        <sz val="11"/>
        <color theme="1"/>
        <rFont val="宋体"/>
        <charset val="134"/>
      </rPr>
      <t>/reconcile/</t>
    </r>
    <r>
      <rPr>
        <sz val="11"/>
        <color theme="1"/>
        <rFont val="Noto Sans CJK SC"/>
        <charset val="134"/>
      </rPr>
      <t>（对账文件，私有，长期）</t>
    </r>
    <r>
      <rPr>
        <sz val="11"/>
        <color theme="1"/>
        <rFont val="宋体"/>
        <charset val="134"/>
      </rPr>
      <t>/temp/</t>
    </r>
    <r>
      <rPr>
        <sz val="11"/>
        <color theme="1"/>
        <rFont val="Noto Sans CJK SC"/>
        <charset val="134"/>
      </rPr>
      <t>（临时，</t>
    </r>
    <r>
      <rPr>
        <sz val="11"/>
        <color theme="1"/>
        <rFont val="宋体"/>
        <charset val="134"/>
      </rPr>
      <t>3</t>
    </r>
    <r>
      <rPr>
        <sz val="11"/>
        <color theme="1"/>
        <rFont val="Noto Sans CJK SC"/>
        <charset val="134"/>
      </rPr>
      <t>天生命周期）；在</t>
    </r>
    <r>
      <rPr>
        <sz val="11"/>
        <color theme="1"/>
        <rFont val="宋体"/>
        <charset val="134"/>
      </rPr>
      <t>yudao-module-infra</t>
    </r>
    <r>
      <rPr>
        <sz val="11"/>
        <color theme="1"/>
        <rFont val="Noto Sans CJK SC"/>
        <charset val="134"/>
      </rPr>
      <t>文件模块配置上述</t>
    </r>
    <r>
      <rPr>
        <sz val="11"/>
        <color theme="1"/>
        <rFont val="宋体"/>
        <charset val="134"/>
      </rPr>
      <t>Bucket</t>
    </r>
    <r>
      <rPr>
        <sz val="11"/>
        <color theme="1"/>
        <rFont val="Noto Sans CJK SC"/>
        <charset val="134"/>
      </rPr>
      <t>路径常量；各模块只引用常量不硬编码路径。复用框架已有的</t>
    </r>
    <r>
      <rPr>
        <sz val="11"/>
        <color theme="1"/>
        <rFont val="宋体"/>
        <charset val="134"/>
      </rPr>
      <t>infra:file</t>
    </r>
    <r>
      <rPr>
        <sz val="11"/>
        <color theme="1"/>
        <rFont val="Noto Sans CJK SC"/>
        <charset val="134"/>
      </rPr>
      <t>模块，几乎无新增代码。</t>
    </r>
  </si>
  <si>
    <r>
      <rPr>
        <sz val="11"/>
        <color theme="1"/>
        <rFont val="Noto Sans CJK SC"/>
        <charset val="134"/>
      </rPr>
      <t>阶段</t>
    </r>
    <r>
      <rPr>
        <sz val="11"/>
        <color theme="1"/>
        <rFont val="宋体"/>
        <charset val="134"/>
      </rPr>
      <t xml:space="preserve">0
</t>
    </r>
    <r>
      <rPr>
        <sz val="11"/>
        <color theme="1"/>
        <rFont val="Noto Sans CJK SC"/>
        <charset val="134"/>
      </rPr>
      <t>（立即完成）</t>
    </r>
  </si>
  <si>
    <r>
      <rPr>
        <sz val="11"/>
        <color theme="1"/>
        <rFont val="Noto Sans CJK SC"/>
        <charset val="134"/>
      </rPr>
      <t>目录规范需全员对齐；</t>
    </r>
    <r>
      <rPr>
        <sz val="11"/>
        <color theme="1"/>
        <rFont val="宋体"/>
        <charset val="134"/>
      </rPr>
      <t>Bucket</t>
    </r>
    <r>
      <rPr>
        <sz val="11"/>
        <color theme="1"/>
        <rFont val="Noto Sans CJK SC"/>
        <charset val="134"/>
      </rPr>
      <t>生命周期配置（</t>
    </r>
    <r>
      <rPr>
        <sz val="11"/>
        <color theme="1"/>
        <rFont val="宋体"/>
        <charset val="134"/>
      </rPr>
      <t>OSS</t>
    </r>
    <r>
      <rPr>
        <sz val="11"/>
        <color theme="1"/>
        <rFont val="Noto Sans CJK SC"/>
        <charset val="134"/>
      </rPr>
      <t>控制台）；路径常量统一到</t>
    </r>
    <r>
      <rPr>
        <sz val="11"/>
        <color theme="1"/>
        <rFont val="宋体"/>
        <charset val="134"/>
      </rPr>
      <t>infra</t>
    </r>
    <r>
      <rPr>
        <sz val="11"/>
        <color theme="1"/>
        <rFont val="Noto Sans CJK SC"/>
        <charset val="134"/>
      </rPr>
      <t>模块</t>
    </r>
  </si>
  <si>
    <t>问题七 小计</t>
  </si>
  <si>
    <r>
      <rPr>
        <b/>
        <sz val="10"/>
        <color rgb="FFFFFFFF"/>
        <rFont val="Noto Sans CJK SC"/>
        <charset val="134"/>
      </rPr>
      <t>八、佣金计算</t>
    </r>
    <r>
      <rPr>
        <b/>
        <sz val="10"/>
        <color rgb="FFFFFFFF"/>
        <rFont val="Arial"/>
        <charset val="1"/>
      </rPr>
      <t>MQ</t>
    </r>
    <r>
      <rPr>
        <b/>
        <sz val="10"/>
        <color rgb="FFFFFFFF"/>
        <rFont val="Noto Sans CJK SC"/>
        <charset val="134"/>
      </rPr>
      <t>统一触发（架构约定）</t>
    </r>
  </si>
  <si>
    <t>16</t>
  </si>
  <si>
    <r>
      <rPr>
        <sz val="11"/>
        <color theme="1"/>
        <rFont val="Noto Sans CJK SC"/>
        <charset val="134"/>
      </rPr>
      <t>问题八
佣金</t>
    </r>
    <r>
      <rPr>
        <sz val="11"/>
        <color theme="1"/>
        <rFont val="宋体"/>
        <charset val="134"/>
      </rPr>
      <t>MQ</t>
    </r>
    <r>
      <rPr>
        <sz val="11"/>
        <color theme="1"/>
        <rFont val="Noto Sans CJK SC"/>
        <charset val="134"/>
      </rPr>
      <t>统一</t>
    </r>
  </si>
  <si>
    <r>
      <rPr>
        <sz val="11"/>
        <color theme="1"/>
        <rFont val="Noto Sans CJK SC"/>
        <charset val="134"/>
      </rPr>
      <t xml:space="preserve">佣金触发架构约定
</t>
    </r>
    <r>
      <rPr>
        <sz val="11"/>
        <color theme="1"/>
        <rFont val="宋体"/>
        <charset val="134"/>
      </rPr>
      <t>+commission_record</t>
    </r>
    <r>
      <rPr>
        <sz val="11"/>
        <color theme="1"/>
        <rFont val="Noto Sans CJK SC"/>
        <charset val="134"/>
      </rPr>
      <t>表统一</t>
    </r>
  </si>
  <si>
    <r>
      <rPr>
        <sz val="11"/>
        <color theme="1"/>
        <rFont val="Noto Sans CJK SC"/>
        <charset val="134"/>
      </rPr>
      <t>确认</t>
    </r>
    <r>
      <rPr>
        <sz val="11"/>
        <color theme="1"/>
        <rFont val="宋体"/>
        <charset val="134"/>
      </rPr>
      <t>commission-service</t>
    </r>
    <r>
      <rPr>
        <sz val="11"/>
        <color theme="1"/>
        <rFont val="Noto Sans CJK SC"/>
        <charset val="134"/>
      </rPr>
      <t>（阶段</t>
    </r>
    <r>
      <rPr>
        <sz val="11"/>
        <color theme="1"/>
        <rFont val="宋体"/>
        <charset val="134"/>
      </rPr>
      <t>2</t>
    </r>
    <r>
      <rPr>
        <sz val="11"/>
        <color theme="1"/>
        <rFont val="Noto Sans CJK SC"/>
        <charset val="134"/>
      </rPr>
      <t>佣金系统）为唯一佣金计算服务：各险种保单录入完成后统一发送</t>
    </r>
    <r>
      <rPr>
        <sz val="11"/>
        <color theme="1"/>
        <rFont val="宋体"/>
        <charset val="134"/>
      </rPr>
      <t>MQ</t>
    </r>
    <r>
      <rPr>
        <sz val="11"/>
        <color theme="1"/>
        <rFont val="Noto Sans CJK SC"/>
        <charset val="134"/>
      </rPr>
      <t>消息（</t>
    </r>
    <r>
      <rPr>
        <sz val="11"/>
        <color theme="1"/>
        <rFont val="宋体"/>
        <charset val="134"/>
      </rPr>
      <t>topic: ins.policy.completed</t>
    </r>
    <r>
      <rPr>
        <sz val="11"/>
        <color theme="1"/>
        <rFont val="Noto Sans CJK SC"/>
        <charset val="134"/>
      </rPr>
      <t>，</t>
    </r>
    <r>
      <rPr>
        <sz val="11"/>
        <color theme="1"/>
        <rFont val="宋体"/>
        <charset val="134"/>
      </rPr>
      <t>payload</t>
    </r>
    <r>
      <rPr>
        <sz val="11"/>
        <color theme="1"/>
        <rFont val="Noto Sans CJK SC"/>
        <charset val="134"/>
      </rPr>
      <t>含</t>
    </r>
    <r>
      <rPr>
        <sz val="11"/>
        <color theme="1"/>
        <rFont val="宋体"/>
        <charset val="134"/>
      </rPr>
      <t>policy_id/policy_type/product_id/agent_id</t>
    </r>
    <r>
      <rPr>
        <sz val="11"/>
        <color theme="1"/>
        <rFont val="Noto Sans CJK SC"/>
        <charset val="134"/>
      </rPr>
      <t>）；</t>
    </r>
    <r>
      <rPr>
        <sz val="11"/>
        <color theme="1"/>
        <rFont val="宋体"/>
        <charset val="134"/>
      </rPr>
      <t>commission-service</t>
    </r>
    <r>
      <rPr>
        <sz val="11"/>
        <color theme="1"/>
        <rFont val="Noto Sans CJK SC"/>
        <charset val="134"/>
      </rPr>
      <t>消费消息后按</t>
    </r>
    <r>
      <rPr>
        <sz val="11"/>
        <color theme="1"/>
        <rFont val="宋体"/>
        <charset val="134"/>
      </rPr>
      <t>policy_type+product_id</t>
    </r>
    <r>
      <rPr>
        <sz val="11"/>
        <color theme="1"/>
        <rFont val="Noto Sans CJK SC"/>
        <charset val="134"/>
      </rPr>
      <t>匹配佣金规则并写入</t>
    </r>
    <r>
      <rPr>
        <sz val="11"/>
        <color theme="1"/>
        <rFont val="宋体"/>
        <charset val="134"/>
      </rPr>
      <t>commission_record</t>
    </r>
    <r>
      <rPr>
        <sz val="11"/>
        <color theme="1"/>
        <rFont val="Noto Sans CJK SC"/>
        <charset val="134"/>
      </rPr>
      <t>表；</t>
    </r>
    <r>
      <rPr>
        <sz val="11"/>
        <color theme="1"/>
        <rFont val="宋体"/>
        <charset val="134"/>
      </rPr>
      <t>commission_record</t>
    </r>
    <r>
      <rPr>
        <sz val="11"/>
        <color theme="1"/>
        <rFont val="Noto Sans CJK SC"/>
        <charset val="134"/>
      </rPr>
      <t>表设计期（阶段</t>
    </r>
    <r>
      <rPr>
        <sz val="11"/>
        <color theme="1"/>
        <rFont val="宋体"/>
        <charset val="134"/>
      </rPr>
      <t>0/</t>
    </r>
    <r>
      <rPr>
        <sz val="11"/>
        <color theme="1"/>
        <rFont val="Noto Sans CJK SC"/>
        <charset val="134"/>
      </rPr>
      <t>阶段</t>
    </r>
    <r>
      <rPr>
        <sz val="11"/>
        <color theme="1"/>
        <rFont val="宋体"/>
        <charset val="134"/>
      </rPr>
      <t>1</t>
    </r>
    <r>
      <rPr>
        <sz val="11"/>
        <color theme="1"/>
        <rFont val="Noto Sans CJK SC"/>
        <charset val="134"/>
      </rPr>
      <t>）需确认支持所有险种（</t>
    </r>
    <r>
      <rPr>
        <sz val="11"/>
        <color theme="1"/>
        <rFont val="宋体"/>
        <charset val="134"/>
      </rPr>
      <t>car/non_car/life</t>
    </r>
    <r>
      <rPr>
        <sz val="11"/>
        <color theme="1"/>
        <rFont val="Noto Sans CJK SC"/>
        <charset val="134"/>
      </rPr>
      <t>），避免后期非车险和寿险各自建佣金表；在阶段</t>
    </r>
    <r>
      <rPr>
        <sz val="11"/>
        <color theme="1"/>
        <rFont val="宋体"/>
        <charset val="134"/>
      </rPr>
      <t>0</t>
    </r>
    <r>
      <rPr>
        <sz val="11"/>
        <color theme="1"/>
        <rFont val="Noto Sans CJK SC"/>
        <charset val="134"/>
      </rPr>
      <t>数据库设计评审中落实此约定（含</t>
    </r>
    <r>
      <rPr>
        <sz val="11"/>
        <color theme="1"/>
        <rFont val="宋体"/>
        <charset val="134"/>
      </rPr>
      <t>ER</t>
    </r>
    <r>
      <rPr>
        <sz val="11"/>
        <color theme="1"/>
        <rFont val="Noto Sans CJK SC"/>
        <charset val="134"/>
      </rPr>
      <t>图确认）。</t>
    </r>
  </si>
  <si>
    <r>
      <rPr>
        <sz val="11"/>
        <color theme="1"/>
        <rFont val="Noto Sans CJK SC"/>
        <charset val="134"/>
      </rPr>
      <t>阶段</t>
    </r>
    <r>
      <rPr>
        <sz val="11"/>
        <color theme="1"/>
        <rFont val="宋体"/>
        <charset val="134"/>
      </rPr>
      <t xml:space="preserve">1
</t>
    </r>
    <r>
      <rPr>
        <sz val="11"/>
        <color theme="1"/>
        <rFont val="Noto Sans CJK SC"/>
        <charset val="134"/>
      </rPr>
      <t>（数据库设计期）</t>
    </r>
  </si>
  <si>
    <r>
      <rPr>
        <sz val="11"/>
        <color theme="1"/>
        <rFont val="宋体"/>
        <charset val="134"/>
      </rPr>
      <t>MQ</t>
    </r>
    <r>
      <rPr>
        <sz val="11"/>
        <color theme="1"/>
        <rFont val="Noto Sans CJK SC"/>
        <charset val="134"/>
      </rPr>
      <t>消息格式规范化（统一</t>
    </r>
    <r>
      <rPr>
        <sz val="11"/>
        <color theme="1"/>
        <rFont val="宋体"/>
        <charset val="134"/>
      </rPr>
      <t>payload</t>
    </r>
    <r>
      <rPr>
        <sz val="11"/>
        <color theme="1"/>
        <rFont val="Noto Sans CJK SC"/>
        <charset val="134"/>
      </rPr>
      <t>结构）；</t>
    </r>
    <r>
      <rPr>
        <sz val="11"/>
        <color theme="1"/>
        <rFont val="宋体"/>
        <charset val="134"/>
      </rPr>
      <t>commission_record</t>
    </r>
    <r>
      <rPr>
        <sz val="11"/>
        <color theme="1"/>
        <rFont val="Noto Sans CJK SC"/>
        <charset val="134"/>
      </rPr>
      <t>险种字段扩展；保证各险种保单录入均发送</t>
    </r>
    <r>
      <rPr>
        <sz val="11"/>
        <color theme="1"/>
        <rFont val="宋体"/>
        <charset val="134"/>
      </rPr>
      <t>MQ</t>
    </r>
  </si>
  <si>
    <t>问题八 小计</t>
  </si>
  <si>
    <r>
      <rPr>
        <b/>
        <sz val="10"/>
        <color rgb="FFFFFFFF"/>
        <rFont val="Noto Sans CJK SC"/>
        <charset val="134"/>
      </rPr>
      <t>九、续保提醒统一调度（</t>
    </r>
    <r>
      <rPr>
        <b/>
        <sz val="10"/>
        <color rgb="FFFFFFFF"/>
        <rFont val="Arial"/>
        <charset val="1"/>
      </rPr>
      <t>renewal-task-service</t>
    </r>
    <r>
      <rPr>
        <b/>
        <sz val="10"/>
        <color rgb="FFFFFFFF"/>
        <rFont val="Noto Sans CJK SC"/>
        <charset val="134"/>
      </rPr>
      <t>）</t>
    </r>
  </si>
  <si>
    <t>17</t>
  </si>
  <si>
    <t>问题九
续保提醒统一</t>
  </si>
  <si>
    <r>
      <rPr>
        <sz val="11"/>
        <color theme="1"/>
        <rFont val="Noto Sans CJK SC"/>
        <charset val="134"/>
      </rPr>
      <t>统一续保提醒
配置表</t>
    </r>
    <r>
      <rPr>
        <sz val="11"/>
        <color theme="1"/>
        <rFont val="宋体"/>
        <charset val="134"/>
      </rPr>
      <t>+</t>
    </r>
    <r>
      <rPr>
        <sz val="11"/>
        <color theme="1"/>
        <rFont val="Noto Sans CJK SC"/>
        <charset val="134"/>
      </rPr>
      <t>调度任务</t>
    </r>
  </si>
  <si>
    <r>
      <rPr>
        <sz val="11"/>
        <color theme="1"/>
        <rFont val="Noto Sans CJK SC"/>
        <charset val="134"/>
      </rPr>
      <t>创建</t>
    </r>
    <r>
      <rPr>
        <sz val="11"/>
        <color theme="1"/>
        <rFont val="宋体"/>
        <charset val="134"/>
      </rPr>
      <t>ins_renewal_remind_config</t>
    </r>
    <r>
      <rPr>
        <sz val="11"/>
        <color theme="1"/>
        <rFont val="Noto Sans CJK SC"/>
        <charset val="134"/>
      </rPr>
      <t>表（提前</t>
    </r>
    <r>
      <rPr>
        <sz val="11"/>
        <color theme="1"/>
        <rFont val="宋体"/>
        <charset val="134"/>
      </rPr>
      <t>N</t>
    </r>
    <r>
      <rPr>
        <sz val="11"/>
        <color theme="1"/>
        <rFont val="Noto Sans CJK SC"/>
        <charset val="134"/>
      </rPr>
      <t>天</t>
    </r>
    <r>
      <rPr>
        <sz val="11"/>
        <color theme="1"/>
        <rFont val="宋体"/>
        <charset val="134"/>
      </rPr>
      <t>/</t>
    </r>
    <r>
      <rPr>
        <sz val="11"/>
        <color theme="1"/>
        <rFont val="Noto Sans CJK SC"/>
        <charset val="134"/>
      </rPr>
      <t>险种</t>
    </r>
    <r>
      <rPr>
        <sz val="11"/>
        <color theme="1"/>
        <rFont val="宋体"/>
        <charset val="134"/>
      </rPr>
      <t>/</t>
    </r>
    <r>
      <rPr>
        <sz val="11"/>
        <color theme="1"/>
        <rFont val="Noto Sans CJK SC"/>
        <charset val="134"/>
      </rPr>
      <t>通知渠道</t>
    </r>
    <r>
      <rPr>
        <sz val="11"/>
        <color theme="1"/>
        <rFont val="宋体"/>
        <charset val="134"/>
      </rPr>
      <t>JSON/</t>
    </r>
    <r>
      <rPr>
        <sz val="11"/>
        <color theme="1"/>
        <rFont val="Noto Sans CJK SC"/>
        <charset val="134"/>
      </rPr>
      <t>是否提醒业务员）；统一</t>
    </r>
    <r>
      <rPr>
        <sz val="11"/>
        <color theme="1"/>
        <rFont val="宋体"/>
        <charset val="134"/>
      </rPr>
      <t>XXL-Job</t>
    </r>
    <r>
      <rPr>
        <sz val="11"/>
        <color theme="1"/>
        <rFont val="Noto Sans CJK SC"/>
        <charset val="134"/>
      </rPr>
      <t>定时任务每天</t>
    </r>
    <r>
      <rPr>
        <sz val="11"/>
        <color theme="1"/>
        <rFont val="宋体"/>
        <charset val="134"/>
      </rPr>
      <t>08:00</t>
    </r>
    <r>
      <rPr>
        <sz val="11"/>
        <color theme="1"/>
        <rFont val="Noto Sans CJK SC"/>
        <charset val="134"/>
      </rPr>
      <t>扫描一次保单到期日，按配置节点（</t>
    </r>
    <r>
      <rPr>
        <sz val="11"/>
        <color theme="1"/>
        <rFont val="宋体"/>
        <charset val="134"/>
      </rPr>
      <t>60/30/15/7/1</t>
    </r>
    <r>
      <rPr>
        <sz val="11"/>
        <color theme="1"/>
        <rFont val="Noto Sans CJK SC"/>
        <charset val="134"/>
      </rPr>
      <t>天）分别触发；所有提醒统一调用</t>
    </r>
    <r>
      <rPr>
        <sz val="11"/>
        <color theme="1"/>
        <rFont val="宋体"/>
        <charset val="134"/>
      </rPr>
      <t>message-center-service</t>
    </r>
    <r>
      <rPr>
        <sz val="11"/>
        <color theme="1"/>
        <rFont val="Noto Sans CJK SC"/>
        <charset val="134"/>
      </rPr>
      <t>（问题六）发送；移除</t>
    </r>
    <r>
      <rPr>
        <sz val="11"/>
        <color theme="1"/>
        <rFont val="宋体"/>
        <charset val="134"/>
      </rPr>
      <t>C</t>
    </r>
    <r>
      <rPr>
        <sz val="11"/>
        <color theme="1"/>
        <rFont val="Noto Sans CJK SC"/>
        <charset val="134"/>
      </rPr>
      <t>端（阶段</t>
    </r>
    <r>
      <rPr>
        <sz val="11"/>
        <color theme="1"/>
        <rFont val="宋体"/>
        <charset val="134"/>
      </rPr>
      <t>3 Row76</t>
    </r>
    <r>
      <rPr>
        <sz val="11"/>
        <color theme="1"/>
        <rFont val="Noto Sans CJK SC"/>
        <charset val="134"/>
      </rPr>
      <t>）、</t>
    </r>
    <r>
      <rPr>
        <sz val="11"/>
        <color theme="1"/>
        <rFont val="宋体"/>
        <charset val="134"/>
      </rPr>
      <t>PC</t>
    </r>
    <r>
      <rPr>
        <sz val="11"/>
        <color theme="1"/>
        <rFont val="Noto Sans CJK SC"/>
        <charset val="134"/>
      </rPr>
      <t>端（阶段</t>
    </r>
    <r>
      <rPr>
        <sz val="11"/>
        <color theme="1"/>
        <rFont val="宋体"/>
        <charset val="134"/>
      </rPr>
      <t>0 Row30</t>
    </r>
    <r>
      <rPr>
        <sz val="11"/>
        <color theme="1"/>
        <rFont val="Noto Sans CJK SC"/>
        <charset val="134"/>
      </rPr>
      <t>）各自独立的扫描逻辑，合并到此服务；</t>
    </r>
    <r>
      <rPr>
        <sz val="11"/>
        <color theme="1"/>
        <rFont val="宋体"/>
        <charset val="134"/>
      </rPr>
      <t>B</t>
    </r>
    <r>
      <rPr>
        <sz val="11"/>
        <color theme="1"/>
        <rFont val="Noto Sans CJK SC"/>
        <charset val="134"/>
      </rPr>
      <t>端续保提醒复用同一任务逻辑（任务分配给归因业务员）。</t>
    </r>
  </si>
  <si>
    <t>与消息中台（问题六）联动；三端提醒节点配置化统一；避免用户收到重复通知；移除原有分散扫描任务</t>
  </si>
  <si>
    <t>问题九 小计</t>
  </si>
  <si>
    <t>▶  全部架构改造工时汇总</t>
  </si>
  <si>
    <t>单位：人天</t>
  </si>
  <si>
    <t>说明与注意事项</t>
  </si>
  <si>
    <r>
      <rPr>
        <sz val="9"/>
        <color rgb="FF404040"/>
        <rFont val="Arial"/>
        <charset val="1"/>
      </rPr>
      <t xml:space="preserve">1. </t>
    </r>
    <r>
      <rPr>
        <sz val="9"/>
        <color rgb="FF404040"/>
        <rFont val="Noto Sans CJK SC"/>
        <charset val="134"/>
      </rPr>
      <t xml:space="preserve">本表工时为净开发工时估算，不含需求评审、测试、联调、上线部署时间，建议按 </t>
    </r>
    <r>
      <rPr>
        <sz val="9"/>
        <color rgb="FF404040"/>
        <rFont val="Arial"/>
        <charset val="1"/>
      </rPr>
      <t xml:space="preserve">×1.3 </t>
    </r>
    <r>
      <rPr>
        <sz val="9"/>
        <color rgb="FF404040"/>
        <rFont val="Noto Sans CJK SC"/>
        <charset val="134"/>
      </rPr>
      <t>系数换算为项目实际工期。</t>
    </r>
  </si>
  <si>
    <r>
      <rPr>
        <i/>
        <sz val="9"/>
        <color rgb="FF404040"/>
        <rFont val="Arial"/>
        <charset val="1"/>
      </rPr>
      <t>2. P0</t>
    </r>
    <r>
      <rPr>
        <i/>
        <sz val="9"/>
        <color rgb="FF404040"/>
        <rFont val="Noto Sans CJK SC"/>
        <charset val="134"/>
      </rPr>
      <t>优先级任务需在对应模块开发前完成，否则将造成后续模块返工；</t>
    </r>
    <r>
      <rPr>
        <i/>
        <sz val="9"/>
        <color rgb="FF404040"/>
        <rFont val="Arial"/>
        <charset val="1"/>
      </rPr>
      <t>P1</t>
    </r>
    <r>
      <rPr>
        <i/>
        <sz val="9"/>
        <color rgb="FF404040"/>
        <rFont val="Noto Sans CJK SC"/>
        <charset val="134"/>
      </rPr>
      <t>任务需在关联阶段同步开展。</t>
    </r>
  </si>
  <si>
    <r>
      <rPr>
        <sz val="9"/>
        <color rgb="FF404040"/>
        <rFont val="Arial"/>
        <charset val="1"/>
      </rPr>
      <t xml:space="preserve">3. </t>
    </r>
    <r>
      <rPr>
        <sz val="9"/>
        <color rgb="FF404040"/>
        <rFont val="Noto Sans CJK SC"/>
        <charset val="134"/>
      </rPr>
      <t>前端工时标记蓝色（</t>
    </r>
    <r>
      <rPr>
        <sz val="9"/>
        <color rgb="FF404040"/>
        <rFont val="Arial"/>
        <charset val="1"/>
      </rPr>
      <t>0.0</t>
    </r>
    <r>
      <rPr>
        <sz val="9"/>
        <color rgb="FF404040"/>
        <rFont val="Noto Sans CJK SC"/>
        <charset val="134"/>
      </rPr>
      <t>天）表示该任务为纯后端工作，前端无需投入；后端同理。</t>
    </r>
  </si>
  <si>
    <r>
      <rPr>
        <sz val="9"/>
        <color rgb="FF404040"/>
        <rFont val="Arial"/>
        <charset val="1"/>
      </rPr>
      <t xml:space="preserve">4. </t>
    </r>
    <r>
      <rPr>
        <sz val="9"/>
        <color rgb="FF404040"/>
        <rFont val="Noto Sans CJK SC"/>
        <charset val="134"/>
      </rPr>
      <t>本表工时与原排期</t>
    </r>
    <r>
      <rPr>
        <sz val="9"/>
        <color rgb="FF404040"/>
        <rFont val="Arial"/>
        <charset val="1"/>
      </rPr>
      <t>V13</t>
    </r>
    <r>
      <rPr>
        <sz val="9"/>
        <color rgb="FF404040"/>
        <rFont val="Noto Sans CJK SC"/>
        <charset val="134"/>
      </rPr>
      <t>叠加计算，建议更新概览</t>
    </r>
    <r>
      <rPr>
        <sz val="9"/>
        <color rgb="FF404040"/>
        <rFont val="Arial"/>
        <charset val="1"/>
      </rPr>
      <t>Sheet</t>
    </r>
    <r>
      <rPr>
        <sz val="9"/>
        <color rgb="FF404040"/>
        <rFont val="Noto Sans CJK SC"/>
        <charset val="134"/>
      </rPr>
      <t>的总工时数据，并将架构改造任务作为各阶段的</t>
    </r>
    <r>
      <rPr>
        <sz val="9"/>
        <color rgb="FF404040"/>
        <rFont val="Arial"/>
        <charset val="1"/>
      </rPr>
      <t>"</t>
    </r>
    <r>
      <rPr>
        <sz val="9"/>
        <color rgb="FF404040"/>
        <rFont val="Noto Sans CJK SC"/>
        <charset val="134"/>
      </rPr>
      <t>前置任务</t>
    </r>
    <r>
      <rPr>
        <sz val="9"/>
        <color rgb="FF404040"/>
        <rFont val="Arial"/>
        <charset val="1"/>
      </rPr>
      <t>"</t>
    </r>
    <r>
      <rPr>
        <sz val="9"/>
        <color rgb="FF404040"/>
        <rFont val="Noto Sans CJK SC"/>
        <charset val="134"/>
      </rPr>
      <t>标注。</t>
    </r>
  </si>
  <si>
    <r>
      <rPr>
        <sz val="9"/>
        <color rgb="FF404040"/>
        <rFont val="Arial"/>
        <charset val="1"/>
      </rPr>
      <t xml:space="preserve">5. </t>
    </r>
    <r>
      <rPr>
        <sz val="9"/>
        <color rgb="FF404040"/>
        <rFont val="Noto Sans CJK SC"/>
        <charset val="134"/>
      </rPr>
      <t>数据库设计类任务（</t>
    </r>
    <r>
      <rPr>
        <sz val="9"/>
        <color rgb="FF404040"/>
        <rFont val="Arial"/>
        <charset val="1"/>
      </rPr>
      <t>#8</t>
    </r>
    <r>
      <rPr>
        <sz val="9"/>
        <color rgb="FF404040"/>
        <rFont val="Noto Sans CJK SC"/>
        <charset val="134"/>
      </rPr>
      <t>、</t>
    </r>
    <r>
      <rPr>
        <sz val="9"/>
        <color rgb="FF404040"/>
        <rFont val="Arial"/>
        <charset val="1"/>
      </rPr>
      <t>#13</t>
    </r>
    <r>
      <rPr>
        <sz val="9"/>
        <color rgb="FF404040"/>
        <rFont val="Noto Sans CJK SC"/>
        <charset val="134"/>
      </rPr>
      <t>）工时已包含架构评审时间，建议在阶段</t>
    </r>
    <r>
      <rPr>
        <sz val="9"/>
        <color rgb="FF404040"/>
        <rFont val="Arial"/>
        <charset val="1"/>
      </rPr>
      <t>1</t>
    </r>
    <r>
      <rPr>
        <sz val="9"/>
        <color rgb="FF404040"/>
        <rFont val="Noto Sans CJK SC"/>
        <charset val="134"/>
      </rPr>
      <t>第一周完成架构决策文档</t>
    </r>
    <r>
      <rPr>
        <sz val="9"/>
        <color rgb="FF404040"/>
        <rFont val="Arial"/>
        <charset val="1"/>
      </rPr>
      <t>D1-D5</t>
    </r>
    <r>
      <rPr>
        <sz val="9"/>
        <color rgb="FF404040"/>
        <rFont val="Noto Sans CJK SC"/>
        <charset val="134"/>
      </rPr>
      <t>的确认。</t>
    </r>
  </si>
  <si>
    <r>
      <rPr>
        <i/>
        <sz val="9"/>
        <color rgb="FF404040"/>
        <rFont val="Arial"/>
        <charset val="1"/>
      </rPr>
      <t xml:space="preserve">6. health-underwriting-service </t>
    </r>
    <r>
      <rPr>
        <i/>
        <sz val="9"/>
        <color rgb="FF404040"/>
        <rFont val="Noto Sans CJK SC"/>
        <charset val="134"/>
      </rPr>
      <t xml:space="preserve">可复用 </t>
    </r>
    <r>
      <rPr>
        <i/>
        <sz val="9"/>
        <color rgb="FF404040"/>
        <rFont val="Arial"/>
        <charset val="1"/>
      </rPr>
      <t>AI</t>
    </r>
    <r>
      <rPr>
        <i/>
        <sz val="9"/>
        <color rgb="FF404040"/>
        <rFont val="Noto Sans CJK SC"/>
        <charset val="134"/>
      </rPr>
      <t>智能中台（阶段</t>
    </r>
    <r>
      <rPr>
        <i/>
        <sz val="9"/>
        <color rgb="FF404040"/>
        <rFont val="Arial"/>
        <charset val="1"/>
      </rPr>
      <t>4</t>
    </r>
    <r>
      <rPr>
        <i/>
        <sz val="9"/>
        <color rgb="FF404040"/>
        <rFont val="Noto Sans CJK SC"/>
        <charset val="134"/>
      </rPr>
      <t>）的问卷模板管理基础设施，建议协调两个模块统一问卷引擎避免重复开发（节省约</t>
    </r>
    <r>
      <rPr>
        <i/>
        <sz val="9"/>
        <color rgb="FF404040"/>
        <rFont val="Arial"/>
        <charset val="1"/>
      </rPr>
      <t>3</t>
    </r>
    <r>
      <rPr>
        <i/>
        <sz val="9"/>
        <color rgb="FF404040"/>
        <rFont val="Noto Sans CJK SC"/>
        <charset val="134"/>
      </rPr>
      <t>天）。</t>
    </r>
  </si>
  <si>
    <t>模块名称</t>
  </si>
  <si>
    <t>功能点</t>
  </si>
  <si>
    <t>主要业务逻辑</t>
  </si>
  <si>
    <t>前端工时(天)</t>
  </si>
  <si>
    <t>后端工时(天)</t>
  </si>
  <si>
    <t>技术难点/实现要点</t>
  </si>
  <si>
    <t>负责人建议</t>
  </si>
  <si>
    <t>数据治理基础</t>
  </si>
  <si>
    <t>数据库表设计</t>
  </si>
  <si>
    <t>设计通用保单表ins_policy（含险种类型枚举：CAR/NON_CAR/LIFE）、ins_customer（C端客户表）、ins_policy_bind_log（保单绑定日志）；车险扩展表ins_policy_car、非车扩展表ins_policy_noncar、寿险扩展表ins_policy_life；全部继承BaseDO（tenant_id/creator/create_time/updater/update_time/deleted）
【V14架构约定-同步执行】：
①OSS目录规范（问题七）：约定全平台存储目录结构，配置yudao-infra路径常量；
②commission_record表确认支持全险种（问题八）：car/non_car/life统一佣金表设计；
③ins_renewal_remind_config续保配置表设计（问题九）；
④ins_questionnaire_template统一问卷表设计（问题四）；
⑤premium-calculation-service试算历史表trial_calc_history设计（问题五）。</t>
  </si>
  <si>
    <r>
      <rPr>
        <sz val="10"/>
        <color rgb="FF000000"/>
        <rFont val="Arial"/>
        <charset val="134"/>
      </rPr>
      <t>ER</t>
    </r>
    <r>
      <rPr>
        <sz val="10"/>
        <color rgb="FF000000"/>
        <rFont val="Noto Sans CJK SC"/>
        <charset val="134"/>
      </rPr>
      <t>图设计；多险种多态表结构；联合索引（</t>
    </r>
    <r>
      <rPr>
        <sz val="10"/>
        <color rgb="FF000000"/>
        <rFont val="Arial"/>
        <charset val="134"/>
      </rPr>
      <t>phone+policy_no</t>
    </r>
    <r>
      <rPr>
        <sz val="10"/>
        <color rgb="FF000000"/>
        <rFont val="Noto Sans CJK SC"/>
        <charset val="134"/>
      </rPr>
      <t>）；身份证号、银行卡号</t>
    </r>
    <r>
      <rPr>
        <sz val="10"/>
        <color rgb="FF000000"/>
        <rFont val="Arial"/>
        <charset val="134"/>
      </rPr>
      <t>AES-256</t>
    </r>
    <r>
      <rPr>
        <sz val="10"/>
        <color rgb="FF000000"/>
        <rFont val="Noto Sans CJK SC"/>
        <charset val="134"/>
      </rPr>
      <t>加密字段</t>
    </r>
  </si>
  <si>
    <t>后端</t>
  </si>
  <si>
    <t>数据字典与枚举定义</t>
  </si>
  <si>
    <t>定义InsuranceTypeEnum（CAR/NON_CAR/LIFE）、PolicyStatusEnum（EFFECTIVE/EXPIRING/EXPIRED/CANCELLED）、ImportSourceEnum（MANUAL/EXCEL_CAR/EXCEL_NONCAR/EXCEL_LIFE）等核心枚举；定义各险种导入Excel列名映射配置（可配置化，不硬编码）</t>
  </si>
  <si>
    <r>
      <rPr>
        <sz val="10"/>
        <color rgb="FF000000"/>
        <rFont val="Arial"/>
        <charset val="134"/>
      </rPr>
      <t>Jackson</t>
    </r>
    <r>
      <rPr>
        <sz val="10"/>
        <color rgb="FF000000"/>
        <rFont val="Noto Sans CJK SC"/>
        <charset val="134"/>
      </rPr>
      <t>枚举序列化；枚举国际化（中文描述）</t>
    </r>
  </si>
  <si>
    <t>框架自带枚举基础</t>
  </si>
  <si>
    <t>存量数据导入工具</t>
  </si>
  <si>
    <r>
      <t>3</t>
    </r>
    <r>
      <rPr>
        <b/>
        <sz val="11"/>
        <color rgb="FFFF0000"/>
        <rFont val="宋体-简"/>
        <charset val="134"/>
      </rPr>
      <t>月已派</t>
    </r>
  </si>
  <si>
    <t>车险保单Excel导入</t>
  </si>
  <si>
    <t>后台上传Excel（.xlsx/.xls，限50MB）→ EasyExcel异步解析 → 按行校验（车牌正则/身份证Luhn算法/手机号11位/日期格式/保单号非空） → 身份证/手机号AES-256加密 → 客户去重（以手机号+身份证为Key，相同则关联，不同则新建） → 批量INSERT ins_policy+ins_policy_car → 写入ins_import_batch_log（批次ID/总行数/成功行数/失败行数/错误文件URL） → 异步处理完成后推送WebSocket通知操作员；错误行生成错误报告Excel供下载</t>
  </si>
  <si>
    <r>
      <rPr>
        <sz val="10"/>
        <color rgb="FF000000"/>
        <rFont val="Arial"/>
        <charset val="134"/>
      </rPr>
      <t>EasyExcel</t>
    </r>
    <r>
      <rPr>
        <sz val="10"/>
        <color rgb="FF000000"/>
        <rFont val="Noto Sans CJK SC"/>
        <charset val="134"/>
      </rPr>
      <t>批量读取（</t>
    </r>
    <r>
      <rPr>
        <sz val="10"/>
        <color rgb="FF000000"/>
        <rFont val="Arial"/>
        <charset val="134"/>
      </rPr>
      <t>1000</t>
    </r>
    <r>
      <rPr>
        <sz val="10"/>
        <color rgb="FF000000"/>
        <rFont val="Noto Sans CJK SC"/>
        <charset val="134"/>
      </rPr>
      <t>行</t>
    </r>
    <r>
      <rPr>
        <sz val="10"/>
        <color rgb="FF000000"/>
        <rFont val="Arial"/>
        <charset val="134"/>
      </rPr>
      <t>/</t>
    </r>
    <r>
      <rPr>
        <sz val="10"/>
        <color rgb="FF000000"/>
        <rFont val="Noto Sans CJK SC"/>
        <charset val="134"/>
      </rPr>
      <t>批）；</t>
    </r>
    <r>
      <rPr>
        <sz val="10"/>
        <color rgb="FF000000"/>
        <rFont val="Arial"/>
        <charset val="134"/>
      </rPr>
      <t>Luhn</t>
    </r>
    <r>
      <rPr>
        <sz val="10"/>
        <color rgb="FF000000"/>
        <rFont val="Noto Sans CJK SC"/>
        <charset val="134"/>
      </rPr>
      <t>身份证校验算法；</t>
    </r>
    <r>
      <rPr>
        <sz val="10"/>
        <color rgb="FF000000"/>
        <rFont val="Arial"/>
        <charset val="134"/>
      </rPr>
      <t>AES-256</t>
    </r>
    <r>
      <rPr>
        <sz val="10"/>
        <color rgb="FF000000"/>
        <rFont val="Noto Sans CJK SC"/>
        <charset val="134"/>
      </rPr>
      <t>加密；</t>
    </r>
    <r>
      <rPr>
        <sz val="10"/>
        <color rgb="FF000000"/>
        <rFont val="Arial"/>
        <charset val="134"/>
      </rPr>
      <t>WebSocket</t>
    </r>
    <r>
      <rPr>
        <sz val="10"/>
        <color rgb="FF000000"/>
        <rFont val="Noto Sans CJK SC"/>
        <charset val="134"/>
      </rPr>
      <t>异步进度推送；错误</t>
    </r>
    <r>
      <rPr>
        <sz val="10"/>
        <color rgb="FF000000"/>
        <rFont val="Arial"/>
        <charset val="134"/>
      </rPr>
      <t>Excel</t>
    </r>
    <r>
      <rPr>
        <sz val="10"/>
        <color rgb="FF000000"/>
        <rFont val="Noto Sans CJK SC"/>
        <charset val="134"/>
      </rPr>
      <t>生成</t>
    </r>
  </si>
  <si>
    <t>非车险保单Excel导入</t>
  </si>
  <si>
    <t>上传非车险Excel → EasyExcel解析 → 字段校验（险种名称非空/保单号唯一性/起止日期逻辑校验：止期&gt;起期/保费&gt;0） → 客户关联/创建 → INSERT ins_policy+ins_policy_noncar → 批次日志 → 异步通知；支持自定义列名映射（通过系统配置界面设置Excel列名↔字段名的映射关系，适配不同保司导出格式）</t>
  </si>
  <si>
    <t>动态列名映射配置（Redis缓存映射规则）；非车险险种枚举校验</t>
  </si>
  <si>
    <t>寿险保单Excel导入</t>
  </si>
  <si>
    <t>上传寿险Excel → 解析投保人/被保人（允许不同人）→ 字段校验（缴费期间格式：20年/终身/趸交；保障期间；年缴保费&gt;0；保单状态枚举校验） → 关联ins_customer（投保人） → INSERT ins_policy+ins_policy_life → 批次日志；支持同一保单含多个被保人（如团险）的多行合并逻辑</t>
  </si>
  <si>
    <t>寿险多被保人合并逻辑；缴费期间格式解析（正则）；保单状态枚举</t>
  </si>
  <si>
    <t>导入批次管理与错误修复</t>
  </si>
  <si>
    <r>
      <rPr>
        <sz val="10"/>
        <color rgb="FF000000"/>
        <rFont val="Arial"/>
        <charset val="134"/>
      </rPr>
      <t>PC</t>
    </r>
    <r>
      <rPr>
        <sz val="10"/>
        <color rgb="FF000000"/>
        <rFont val="Noto Sans CJK SC"/>
        <charset val="134"/>
      </rPr>
      <t>管理后台「数据导入」菜单：展示所有导入批次列表（批次</t>
    </r>
    <r>
      <rPr>
        <sz val="10"/>
        <color rgb="FF000000"/>
        <rFont val="Arial"/>
        <charset val="134"/>
      </rPr>
      <t>ID/</t>
    </r>
    <r>
      <rPr>
        <sz val="10"/>
        <color rgb="FF000000"/>
        <rFont val="Noto Sans CJK SC"/>
        <charset val="134"/>
      </rPr>
      <t>时间</t>
    </r>
    <r>
      <rPr>
        <sz val="10"/>
        <color rgb="FF000000"/>
        <rFont val="Arial"/>
        <charset val="134"/>
      </rPr>
      <t>/</t>
    </r>
    <r>
      <rPr>
        <sz val="10"/>
        <color rgb="FF000000"/>
        <rFont val="Noto Sans CJK SC"/>
        <charset val="134"/>
      </rPr>
      <t>险种</t>
    </r>
    <r>
      <rPr>
        <sz val="10"/>
        <color rgb="FF000000"/>
        <rFont val="Arial"/>
        <charset val="134"/>
      </rPr>
      <t>/</t>
    </r>
    <r>
      <rPr>
        <sz val="10"/>
        <color rgb="FF000000"/>
        <rFont val="Noto Sans CJK SC"/>
        <charset val="134"/>
      </rPr>
      <t>总行数</t>
    </r>
    <r>
      <rPr>
        <sz val="10"/>
        <color rgb="FF000000"/>
        <rFont val="Arial"/>
        <charset val="134"/>
      </rPr>
      <t>/</t>
    </r>
    <r>
      <rPr>
        <sz val="10"/>
        <color rgb="FF000000"/>
        <rFont val="Noto Sans CJK SC"/>
        <charset val="134"/>
      </rPr>
      <t>成功数</t>
    </r>
    <r>
      <rPr>
        <sz val="10"/>
        <color rgb="FF000000"/>
        <rFont val="Arial"/>
        <charset val="134"/>
      </rPr>
      <t>/</t>
    </r>
    <r>
      <rPr>
        <sz val="10"/>
        <color rgb="FF000000"/>
        <rFont val="Noto Sans CJK SC"/>
        <charset val="134"/>
      </rPr>
      <t>失败数</t>
    </r>
    <r>
      <rPr>
        <sz val="10"/>
        <color rgb="FF000000"/>
        <rFont val="Arial"/>
        <charset val="134"/>
      </rPr>
      <t>/</t>
    </r>
    <r>
      <rPr>
        <sz val="10"/>
        <color rgb="FF000000"/>
        <rFont val="Noto Sans CJK SC"/>
        <charset val="134"/>
      </rPr>
      <t>状态）；点击批次可查看失败明细（错误行号</t>
    </r>
    <r>
      <rPr>
        <sz val="10"/>
        <color rgb="FF000000"/>
        <rFont val="Arial"/>
        <charset val="134"/>
      </rPr>
      <t>+</t>
    </r>
    <r>
      <rPr>
        <sz val="10"/>
        <color rgb="FF000000"/>
        <rFont val="Noto Sans CJK SC"/>
        <charset val="134"/>
      </rPr>
      <t>错误原因）；提供「下载错误报告」（</t>
    </r>
    <r>
      <rPr>
        <sz val="10"/>
        <color rgb="FF000000"/>
        <rFont val="Arial"/>
        <charset val="134"/>
      </rPr>
      <t>EasyExcel</t>
    </r>
    <r>
      <rPr>
        <sz val="10"/>
        <color rgb="FF000000"/>
        <rFont val="Noto Sans CJK SC"/>
        <charset val="134"/>
      </rPr>
      <t>生成，含原始数据</t>
    </r>
    <r>
      <rPr>
        <sz val="10"/>
        <color rgb="FF000000"/>
        <rFont val="Arial"/>
        <charset val="134"/>
      </rPr>
      <t>+</t>
    </r>
    <r>
      <rPr>
        <sz val="10"/>
        <color rgb="FF000000"/>
        <rFont val="Noto Sans CJK SC"/>
        <charset val="134"/>
      </rPr>
      <t>错误列</t>
    </r>
    <r>
      <rPr>
        <sz val="10"/>
        <color rgb="FF000000"/>
        <rFont val="Arial"/>
        <charset val="134"/>
      </rPr>
      <t>+</t>
    </r>
    <r>
      <rPr>
        <sz val="10"/>
        <color rgb="FF000000"/>
        <rFont val="Noto Sans CJK SC"/>
        <charset val="134"/>
      </rPr>
      <t>错误提示）；支持「重新导入」（修正数据后上传同批次修正文件）；支持「撤销导入」（软删除该批次所有记录，</t>
    </r>
    <r>
      <rPr>
        <sz val="10"/>
        <color rgb="FF000000"/>
        <rFont val="Arial"/>
        <charset val="134"/>
      </rPr>
      <t>deleted=1</t>
    </r>
    <r>
      <rPr>
        <sz val="10"/>
        <color rgb="FF000000"/>
        <rFont val="Noto Sans CJK SC"/>
        <charset val="134"/>
      </rPr>
      <t>）</t>
    </r>
  </si>
  <si>
    <t>批次状态机（PENDING/PROCESSING/SUCCESS/PARTIAL_FAIL/FAIL）；EasyExcel错误报告生成；撤销操作的软删除+级联更新</t>
  </si>
  <si>
    <t>前端+后端</t>
  </si>
  <si>
    <t>数据清洗与质量报告</t>
  </si>
  <si>
    <t>导入前预检：上传文件后先运行预检脚本（不写库），输出JSON质量报告：{totalRows, validRows, errorRows, duplicateRows, warningRows}；警告类（如手机号格式存疑）不阻断导入，错误类（如保单号空）必须修复；PC端展示质量报告卡片，业务员可选择「忽略警告强制导入」或「下载报告修正后重新上传」</t>
  </si>
  <si>
    <t>预检与正式导入两阶段；JSON质量报告结构定义</t>
  </si>
  <si>
    <r>
      <rPr>
        <b/>
        <sz val="11"/>
        <color rgb="FF1F3864"/>
        <rFont val="Arial"/>
        <charset val="134"/>
      </rPr>
      <t>C</t>
    </r>
    <r>
      <rPr>
        <b/>
        <sz val="11"/>
        <color rgb="FF1F3864"/>
        <rFont val="Noto Sans CJK SC"/>
        <charset val="134"/>
      </rPr>
      <t>端用户体系</t>
    </r>
  </si>
  <si>
    <t>微信小程序注册/登录</t>
  </si>
  <si>
    <t>微信一键授权（wx.login获取code → 后端换取openid/unionid → 查member表是否已注册） → 未注册则跳转手机号绑定页 → 微信授权获取手机号（encryptedData解密）或用户手动输入+短信验证码 → 校验手机号格式 → INSERT ins_member（openid/unionid/phone/nickname/avatar） → 颁发JWT Token（含memberId，有效期30天）；已注册直接颁发Token</t>
  </si>
  <si>
    <t>微信OAuth2.0；encryptedData解密（AES-128-CBC）；手机号与openid绑定；JWT颁发</t>
  </si>
  <si>
    <r>
      <rPr>
        <sz val="10"/>
        <color rgb="FF000000"/>
        <rFont val="Arial"/>
        <charset val="134"/>
      </rPr>
      <t>H5</t>
    </r>
    <r>
      <rPr>
        <sz val="10"/>
        <color rgb="FF000000"/>
        <rFont val="Noto Sans CJK SC"/>
        <charset val="134"/>
      </rPr>
      <t>端手机号注册</t>
    </r>
    <r>
      <rPr>
        <sz val="10"/>
        <color rgb="FF000000"/>
        <rFont val="Arial"/>
        <charset val="134"/>
      </rPr>
      <t>/</t>
    </r>
    <r>
      <rPr>
        <sz val="10"/>
        <color rgb="FF000000"/>
        <rFont val="Noto Sans CJK SC"/>
        <charset val="134"/>
      </rPr>
      <t>登录</t>
    </r>
  </si>
  <si>
    <t>输入手机号 → 发送短信验证码（阿里云SMS，6位数字，TTL=5分钟，同号1分钟限1次，每日限5次） → 输入验证码校验 → 查member表：存在则登录，不存在则注册 → 颁发JWT；支持账号密码登录（忘记密码通过手机号+验证码重置）</t>
  </si>
  <si>
    <r>
      <rPr>
        <sz val="10"/>
        <color rgb="FF000000"/>
        <rFont val="Arial"/>
        <charset val="134"/>
      </rPr>
      <t>Redis Lua</t>
    </r>
    <r>
      <rPr>
        <sz val="10"/>
        <color rgb="FF000000"/>
        <rFont val="Noto Sans CJK SC"/>
        <charset val="134"/>
      </rPr>
      <t>原子限频；短信发送记录；密码</t>
    </r>
    <r>
      <rPr>
        <sz val="10"/>
        <color rgb="FF000000"/>
        <rFont val="Arial"/>
        <charset val="134"/>
      </rPr>
      <t>BCrypt</t>
    </r>
    <r>
      <rPr>
        <sz val="10"/>
        <color rgb="FF000000"/>
        <rFont val="Noto Sans CJK SC"/>
        <charset val="134"/>
      </rPr>
      <t>加密</t>
    </r>
  </si>
  <si>
    <t>个人中心</t>
  </si>
  <si>
    <t>展示：昵称（可修改）/头像（可上传，OSS存储）/手机号（脱敏：138****8888）/绑定状态；修改昵称：字符长度2-20，特殊字符过滤；更换手机号：旧号验证码+新号验证码双验证；退出登录：清除本地Token，不注销账号</t>
  </si>
  <si>
    <t>图片上传OSS（限2MB/jpg/png）；手机号换绑双验证</t>
  </si>
  <si>
    <t>保单绑定机制</t>
  </si>
  <si>
    <t>注册时自动关联保单</t>
  </si>
  <si>
    <t>用户注册成功后触发异步任务：以phone为Key查ins_policy（status!=CANCELLED）→ 找到则创建ins_policy_member_bind记录（policy_id/member_id/bind_type=AUTO_BY_PHONE/bind_time） → 「我的保单」页面即可看到保单；同时推送微信订阅消息「您有X张保单已自动关联」</t>
  </si>
  <si>
    <r>
      <rPr>
        <sz val="10"/>
        <color rgb="FF000000"/>
        <rFont val="Arial"/>
        <charset val="134"/>
      </rPr>
      <t>RocketMQ</t>
    </r>
    <r>
      <rPr>
        <sz val="10"/>
        <color rgb="FF000000"/>
        <rFont val="Noto Sans CJK SC"/>
        <charset val="134"/>
      </rPr>
      <t>异步消息（注册事件→保单关联任务）；批量关联去重</t>
    </r>
  </si>
  <si>
    <t>手动添加保单</t>
  </si>
  <si>
    <t>「我的保单」页底部「添加保单」入口 → 选择险种（车险/非车险/寿险） → 输入【保单号 + 证件号后6位】 → 后端：①查ins_policy（policy_no匹配）②校验证件后6位（ins_policy_car/life的id_card字段解密后取后6位对比）③校验通过 → INSERT ins_policy_member_bind（bind_type=MANUAL）→ 返回保单基本信息预览 → 用户确认 → 绑定完成</t>
  </si>
  <si>
    <t>证件号AES解密取后6位对比（不暴露完整证件号）；防重复绑定（unique索引）</t>
  </si>
  <si>
    <t>解除保单绑定</t>
  </si>
  <si>
    <t>「保单详情页」右上角「解除绑定」按钮 → 二次确认弹窗 → DELETE ins_policy_member_bind（逻辑删除） → 该保单从「我的保单」移除；仅影响绑定关系，不删除保单数据</t>
  </si>
  <si>
    <t>逻辑删除（deleted_at字段）；解绑日志</t>
  </si>
  <si>
    <r>
      <rPr>
        <b/>
        <sz val="11"/>
        <color rgb="FF1F3864"/>
        <rFont val="Arial"/>
        <charset val="134"/>
      </rPr>
      <t>C</t>
    </r>
    <r>
      <rPr>
        <b/>
        <sz val="11"/>
        <color rgb="FF1F3864"/>
        <rFont val="Noto Sans CJK SC"/>
        <charset val="134"/>
      </rPr>
      <t>端保单展示</t>
    </r>
    <r>
      <rPr>
        <b/>
        <sz val="11"/>
        <color rgb="FF1F3864"/>
        <rFont val="Arial"/>
        <charset val="134"/>
      </rPr>
      <t>-</t>
    </r>
    <r>
      <rPr>
        <b/>
        <sz val="11"/>
        <color rgb="FF1F3864"/>
        <rFont val="Noto Sans CJK SC"/>
        <charset val="134"/>
      </rPr>
      <t>列表页</t>
    </r>
  </si>
  <si>
    <t>我的保单列表</t>
  </si>
  <si>
    <t>进入「我的保单」→ 查ins_policy_member_bind（member_id=当前用户）JOIN ins_policy → 按险种分Tab展示（全部/车险/非车险/寿险）；卡片展示：保险公司名称+Logo/产品名称/保障期限起止/状态标签（红:已到期/橙:30日内到期/绿:生效中）；按到期日排序（即将到期置顶）；空状态展示引导文案「暂无保单，点击添加」</t>
  </si>
  <si>
    <t>分Tab懒加载；保单卡片状态计算（当前日期与到期日对比）；保险公司Logo本地静态资源映射</t>
  </si>
  <si>
    <t>即将到期提醒条</t>
  </si>
  <si>
    <t>列表顶部：若有保单30天内到期，展示红色提醒条「您有X张保单即将到期，点击查看」→ 点击跳转筛选「即将到期」Tab；保单卡片右上角展示「还剩N天」角标（N≤30天时显示）</t>
  </si>
  <si>
    <t>日期差计算；动态角标渲染</t>
  </si>
  <si>
    <t>前端</t>
  </si>
  <si>
    <t>搜索与筛选</t>
  </si>
  <si>
    <t>搜索框：支持按「产品名称」或「保单号」模糊搜索（前端本地过滤，数量&lt;100条时）；筛选：按保险公司下拉（动态从已绑定保单中取distinct值）、按状态（生效中/即将到期/已到期）；筛选条件持久化（localStorage存储，下次打开保持筛选状态）</t>
  </si>
  <si>
    <t>前端本地过滤与后端分页结合；localStorage筛选持久化</t>
  </si>
  <si>
    <r>
      <rPr>
        <b/>
        <sz val="11"/>
        <color rgb="FF1F3864"/>
        <rFont val="Arial"/>
        <charset val="134"/>
      </rPr>
      <t>C</t>
    </r>
    <r>
      <rPr>
        <b/>
        <sz val="11"/>
        <color rgb="FF1F3864"/>
        <rFont val="Noto Sans CJK SC"/>
        <charset val="134"/>
      </rPr>
      <t>端保单展示</t>
    </r>
    <r>
      <rPr>
        <b/>
        <sz val="11"/>
        <color rgb="FF1F3864"/>
        <rFont val="Arial"/>
        <charset val="134"/>
      </rPr>
      <t>-</t>
    </r>
    <r>
      <rPr>
        <b/>
        <sz val="11"/>
        <color rgb="FF1F3864"/>
        <rFont val="Noto Sans CJK SC"/>
        <charset val="134"/>
      </rPr>
      <t>详情页</t>
    </r>
  </si>
  <si>
    <t>车险保单详情</t>
  </si>
  <si>
    <t>展示：保险公司+Logo/产品名称/保单号（脱敏：前4后4中间*）/车牌号/险种组合（交强险+商业险各项）/保障期限/保费合计/承保业务员（仅展示姓名）/保单状态标签；不展示：身份证完整号、代理人手机号；底部操作：「联系客服」（跳转保险公司官方电话）、「续保提醒」开关</t>
  </si>
  <si>
    <t>敏感字段脱敏展示；险种明细动态渲染（JSON字段解析）</t>
  </si>
  <si>
    <t>非车险保单详情</t>
  </si>
  <si>
    <t>展示：保险公司/险种类别（意外险/健康险/财产险等）/产品全称/保单号（脱敏）/被保人/保险金额/保障期限/保费/保单状态；底部：「联系客服」电话/「理赔指引」（静态文案）</t>
  </si>
  <si>
    <t>非车险类别枚举到中文映射</t>
  </si>
  <si>
    <t>寿险保单详情</t>
  </si>
  <si>
    <t>展示：保险公司/产品名称/保单号（脱敏）/投保人/被保人/保障期间/缴费期间/年缴保费/缴费状态/保单状态；缴费进度可视化（已缴N年/共M年，进度条展示）；底部：「联系客服」/「保单贷款计算」（静态说明）</t>
  </si>
  <si>
    <t>缴费进度计算（投保日期+已缴年数）；进度条组件</t>
  </si>
  <si>
    <r>
      <rPr>
        <b/>
        <sz val="11"/>
        <color rgb="FF1F3864"/>
        <rFont val="Arial"/>
        <charset val="134"/>
      </rPr>
      <t>C</t>
    </r>
    <r>
      <rPr>
        <b/>
        <sz val="11"/>
        <color rgb="FF1F3864"/>
        <rFont val="Noto Sans CJK SC"/>
        <charset val="134"/>
      </rPr>
      <t>端首页框架</t>
    </r>
  </si>
  <si>
    <r>
      <rPr>
        <sz val="10"/>
        <color rgb="FF000000"/>
        <rFont val="Arial"/>
        <charset val="134"/>
      </rPr>
      <t>C</t>
    </r>
    <r>
      <rPr>
        <sz val="10"/>
        <color rgb="FF000000"/>
        <rFont val="Noto Sans CJK SC"/>
        <charset val="134"/>
      </rPr>
      <t>端首页布局</t>
    </r>
  </si>
  <si>
    <t>顶部搜索栏（预留，本期不实现搜索逻辑）；Banner轮播区（CMS配置，最多5张，PC后台管理图片+链接）；快捷入口区：「我的保单」/「续保提醒」/「理赔指引」/「保险科普」（图标+文字，固定4个）；产品分类展示区（车险/非车险/寿险三大分类入口，本期点击进入说明页，不开通在线购买）；底部TabBar（首页/保单/我的）</t>
  </si>
  <si>
    <r>
      <rPr>
        <sz val="10"/>
        <color rgb="FF000000"/>
        <rFont val="Arial"/>
        <charset val="134"/>
      </rPr>
      <t>Banner CMS</t>
    </r>
    <r>
      <rPr>
        <sz val="10"/>
        <color rgb="FF000000"/>
        <rFont val="Noto Sans CJK SC"/>
        <charset val="134"/>
      </rPr>
      <t>接口；</t>
    </r>
    <r>
      <rPr>
        <sz val="10"/>
        <color rgb="FF000000"/>
        <rFont val="Arial"/>
        <charset val="134"/>
      </rPr>
      <t>TabBar</t>
    </r>
    <r>
      <rPr>
        <sz val="10"/>
        <color rgb="FF000000"/>
        <rFont val="Noto Sans CJK SC"/>
        <charset val="134"/>
      </rPr>
      <t>全局组件；条件渲染（登录态</t>
    </r>
    <r>
      <rPr>
        <sz val="10"/>
        <color rgb="FF000000"/>
        <rFont val="Arial"/>
        <charset val="134"/>
      </rPr>
      <t>/</t>
    </r>
    <r>
      <rPr>
        <sz val="10"/>
        <color rgb="FF000000"/>
        <rFont val="Noto Sans CJK SC"/>
        <charset val="134"/>
      </rPr>
      <t>未登录态）</t>
    </r>
  </si>
  <si>
    <r>
      <rPr>
        <sz val="10"/>
        <color rgb="FF000000"/>
        <rFont val="Arial"/>
        <charset val="134"/>
      </rPr>
      <t>Banner CMS</t>
    </r>
    <r>
      <rPr>
        <sz val="10"/>
        <color rgb="FF000000"/>
        <rFont val="Noto Sans CJK SC"/>
        <charset val="134"/>
      </rPr>
      <t>后台配置</t>
    </r>
  </si>
  <si>
    <r>
      <rPr>
        <sz val="10"/>
        <color rgb="FF000000"/>
        <rFont val="Arial"/>
        <charset val="134"/>
      </rPr>
      <t>PC</t>
    </r>
    <r>
      <rPr>
        <sz val="10"/>
        <color rgb="FF000000"/>
        <rFont val="Noto Sans CJK SC"/>
        <charset val="134"/>
      </rPr>
      <t>管理后台新增「</t>
    </r>
    <r>
      <rPr>
        <sz val="10"/>
        <color rgb="FF000000"/>
        <rFont val="Arial"/>
        <charset val="134"/>
      </rPr>
      <t>C</t>
    </r>
    <r>
      <rPr>
        <sz val="10"/>
        <color rgb="FF000000"/>
        <rFont val="Noto Sans CJK SC"/>
        <charset val="134"/>
      </rPr>
      <t>端</t>
    </r>
    <r>
      <rPr>
        <sz val="10"/>
        <color rgb="FF000000"/>
        <rFont val="Arial"/>
        <charset val="134"/>
      </rPr>
      <t>Banner</t>
    </r>
    <r>
      <rPr>
        <sz val="10"/>
        <color rgb="FF000000"/>
        <rFont val="Noto Sans CJK SC"/>
        <charset val="134"/>
      </rPr>
      <t>管理」菜单：列表展示（</t>
    </r>
    <r>
      <rPr>
        <sz val="10"/>
        <color rgb="FF000000"/>
        <rFont val="Arial"/>
        <charset val="134"/>
      </rPr>
      <t>Banner</t>
    </r>
    <r>
      <rPr>
        <sz val="10"/>
        <color rgb="FF000000"/>
        <rFont val="Noto Sans CJK SC"/>
        <charset val="134"/>
      </rPr>
      <t>标题</t>
    </r>
    <r>
      <rPr>
        <sz val="10"/>
        <color rgb="FF000000"/>
        <rFont val="Arial"/>
        <charset val="134"/>
      </rPr>
      <t>/</t>
    </r>
    <r>
      <rPr>
        <sz val="10"/>
        <color rgb="FF000000"/>
        <rFont val="Noto Sans CJK SC"/>
        <charset val="134"/>
      </rPr>
      <t>图片预览</t>
    </r>
    <r>
      <rPr>
        <sz val="10"/>
        <color rgb="FF000000"/>
        <rFont val="Arial"/>
        <charset val="134"/>
      </rPr>
      <t>/</t>
    </r>
    <r>
      <rPr>
        <sz val="10"/>
        <color rgb="FF000000"/>
        <rFont val="Noto Sans CJK SC"/>
        <charset val="134"/>
      </rPr>
      <t>排序</t>
    </r>
    <r>
      <rPr>
        <sz val="10"/>
        <color rgb="FF000000"/>
        <rFont val="Arial"/>
        <charset val="134"/>
      </rPr>
      <t>/</t>
    </r>
    <r>
      <rPr>
        <sz val="10"/>
        <color rgb="FF000000"/>
        <rFont val="Noto Sans CJK SC"/>
        <charset val="134"/>
      </rPr>
      <t>状态</t>
    </r>
    <r>
      <rPr>
        <sz val="10"/>
        <color rgb="FF000000"/>
        <rFont val="Arial"/>
        <charset val="134"/>
      </rPr>
      <t>/</t>
    </r>
    <r>
      <rPr>
        <sz val="10"/>
        <color rgb="FF000000"/>
        <rFont val="Noto Sans CJK SC"/>
        <charset val="134"/>
      </rPr>
      <t>有效期）；新增</t>
    </r>
    <r>
      <rPr>
        <sz val="10"/>
        <color rgb="FF000000"/>
        <rFont val="Arial"/>
        <charset val="134"/>
      </rPr>
      <t>/</t>
    </r>
    <r>
      <rPr>
        <sz val="10"/>
        <color rgb="FF000000"/>
        <rFont val="Noto Sans CJK SC"/>
        <charset val="134"/>
      </rPr>
      <t>编辑（上传图片至</t>
    </r>
    <r>
      <rPr>
        <sz val="10"/>
        <color rgb="FF000000"/>
        <rFont val="Arial"/>
        <charset val="134"/>
      </rPr>
      <t>OSS</t>
    </r>
    <r>
      <rPr>
        <sz val="10"/>
        <color rgb="FF000000"/>
        <rFont val="Noto Sans CJK SC"/>
        <charset val="134"/>
      </rPr>
      <t>，设置跳转链接类型：无跳转</t>
    </r>
    <r>
      <rPr>
        <sz val="10"/>
        <color rgb="FF000000"/>
        <rFont val="Arial"/>
        <charset val="134"/>
      </rPr>
      <t>/</t>
    </r>
    <r>
      <rPr>
        <sz val="10"/>
        <color rgb="FF000000"/>
        <rFont val="Noto Sans CJK SC"/>
        <charset val="134"/>
      </rPr>
      <t>内部页面</t>
    </r>
    <r>
      <rPr>
        <sz val="10"/>
        <color rgb="FF000000"/>
        <rFont val="Arial"/>
        <charset val="134"/>
      </rPr>
      <t>/</t>
    </r>
    <r>
      <rPr>
        <sz val="10"/>
        <color rgb="FF000000"/>
        <rFont val="Noto Sans CJK SC"/>
        <charset val="134"/>
      </rPr>
      <t>外部</t>
    </r>
    <r>
      <rPr>
        <sz val="10"/>
        <color rgb="FF000000"/>
        <rFont val="Arial"/>
        <charset val="134"/>
      </rPr>
      <t>URL</t>
    </r>
    <r>
      <rPr>
        <sz val="10"/>
        <color rgb="FF000000"/>
        <rFont val="Noto Sans CJK SC"/>
        <charset val="134"/>
      </rPr>
      <t>）；拖拽排序；启用</t>
    </r>
    <r>
      <rPr>
        <sz val="10"/>
        <color rgb="FF000000"/>
        <rFont val="Arial"/>
        <charset val="134"/>
      </rPr>
      <t>/</t>
    </r>
    <r>
      <rPr>
        <sz val="10"/>
        <color rgb="FF000000"/>
        <rFont val="Noto Sans CJK SC"/>
        <charset val="134"/>
      </rPr>
      <t>禁用；</t>
    </r>
    <r>
      <rPr>
        <sz val="10"/>
        <color rgb="FF000000"/>
        <rFont val="Arial"/>
        <charset val="134"/>
      </rPr>
      <t>C</t>
    </r>
    <r>
      <rPr>
        <sz val="10"/>
        <color rgb="FF000000"/>
        <rFont val="Noto Sans CJK SC"/>
        <charset val="134"/>
      </rPr>
      <t xml:space="preserve">端小程序调 </t>
    </r>
    <r>
      <rPr>
        <sz val="10"/>
        <color rgb="FF000000"/>
        <rFont val="Arial"/>
        <charset val="134"/>
      </rPr>
      <t xml:space="preserve">GET /app-api/banner/list </t>
    </r>
    <r>
      <rPr>
        <sz val="10"/>
        <color rgb="FF000000"/>
        <rFont val="Noto Sans CJK SC"/>
        <charset val="134"/>
      </rPr>
      <t>接口获取生效中的</t>
    </r>
    <r>
      <rPr>
        <sz val="10"/>
        <color rgb="FF000000"/>
        <rFont val="Arial"/>
        <charset val="134"/>
      </rPr>
      <t>Banner</t>
    </r>
    <r>
      <rPr>
        <sz val="10"/>
        <color rgb="FF000000"/>
        <rFont val="Noto Sans CJK SC"/>
        <charset val="134"/>
      </rPr>
      <t>列表（</t>
    </r>
    <r>
      <rPr>
        <sz val="10"/>
        <color rgb="FF000000"/>
        <rFont val="Arial"/>
        <charset val="134"/>
      </rPr>
      <t>Redis</t>
    </r>
    <r>
      <rPr>
        <sz val="10"/>
        <color rgb="FF000000"/>
        <rFont val="Noto Sans CJK SC"/>
        <charset val="134"/>
      </rPr>
      <t>缓存</t>
    </r>
    <r>
      <rPr>
        <sz val="10"/>
        <color rgb="FF000000"/>
        <rFont val="Arial"/>
        <charset val="134"/>
      </rPr>
      <t>5</t>
    </r>
    <r>
      <rPr>
        <sz val="10"/>
        <color rgb="FF000000"/>
        <rFont val="Noto Sans CJK SC"/>
        <charset val="134"/>
      </rPr>
      <t>分钟）</t>
    </r>
  </si>
  <si>
    <r>
      <rPr>
        <sz val="10"/>
        <color rgb="FF000000"/>
        <rFont val="Arial"/>
        <charset val="134"/>
      </rPr>
      <t>OSS</t>
    </r>
    <r>
      <rPr>
        <sz val="10"/>
        <color rgb="FF000000"/>
        <rFont val="Noto Sans CJK SC"/>
        <charset val="134"/>
      </rPr>
      <t>图片上传；</t>
    </r>
    <r>
      <rPr>
        <sz val="10"/>
        <color rgb="FF000000"/>
        <rFont val="Arial"/>
        <charset val="134"/>
      </rPr>
      <t>Redis</t>
    </r>
    <r>
      <rPr>
        <sz val="10"/>
        <color rgb="FF000000"/>
        <rFont val="Noto Sans CJK SC"/>
        <charset val="134"/>
      </rPr>
      <t>缓存</t>
    </r>
    <r>
      <rPr>
        <sz val="10"/>
        <color rgb="FF000000"/>
        <rFont val="Arial"/>
        <charset val="134"/>
      </rPr>
      <t>Banner</t>
    </r>
    <r>
      <rPr>
        <sz val="10"/>
        <color rgb="FF000000"/>
        <rFont val="Noto Sans CJK SC"/>
        <charset val="134"/>
      </rPr>
      <t>；拖拽排序（</t>
    </r>
    <r>
      <rPr>
        <sz val="10"/>
        <color rgb="FF000000"/>
        <rFont val="Arial"/>
        <charset val="134"/>
      </rPr>
      <t>sortOrder</t>
    </r>
    <r>
      <rPr>
        <sz val="10"/>
        <color rgb="FF000000"/>
        <rFont val="Noto Sans CJK SC"/>
        <charset val="134"/>
      </rPr>
      <t>字段）</t>
    </r>
  </si>
  <si>
    <t>续保提醒推送</t>
  </si>
  <si>
    <t>保单到期提醒开关</t>
  </si>
  <si>
    <t>保单详情页「续保提醒」Toggle开关（默认开启）→ UPDATE ins_policy_member_bind（renew_remind=true/false）；首次绑定保单时默认开启提醒</t>
  </si>
  <si>
    <t>微信订阅消息模板申请；用户订阅授权（一次性/长期）</t>
  </si>
  <si>
    <t>定时提醒任务</t>
  </si>
  <si>
    <r>
      <rPr>
        <sz val="10"/>
        <color rgb="FF000000"/>
        <rFont val="Arial"/>
        <charset val="134"/>
      </rPr>
      <t>XXL-Job</t>
    </r>
    <r>
      <rPr>
        <sz val="10"/>
        <color rgb="FF000000"/>
        <rFont val="Noto Sans CJK SC"/>
        <charset val="134"/>
      </rPr>
      <t>每日</t>
    </r>
    <r>
      <rPr>
        <sz val="10"/>
        <color rgb="FF000000"/>
        <rFont val="Arial"/>
        <charset val="134"/>
      </rPr>
      <t>08:00</t>
    </r>
    <r>
      <rPr>
        <sz val="10"/>
        <color rgb="FF000000"/>
        <rFont val="Noto Sans CJK SC"/>
        <charset val="134"/>
      </rPr>
      <t>执行：扫描</t>
    </r>
    <r>
      <rPr>
        <sz val="10"/>
        <color rgb="FF000000"/>
        <rFont val="Arial"/>
        <charset val="134"/>
      </rPr>
      <t>ins_policy</t>
    </r>
    <r>
      <rPr>
        <sz val="10"/>
        <color rgb="FF000000"/>
        <rFont val="Noto Sans CJK SC"/>
        <charset val="134"/>
      </rPr>
      <t>（到期日</t>
    </r>
    <r>
      <rPr>
        <sz val="10"/>
        <color rgb="FF000000"/>
        <rFont val="Arial"/>
        <charset val="134"/>
      </rPr>
      <t>=</t>
    </r>
    <r>
      <rPr>
        <sz val="10"/>
        <color rgb="FF000000"/>
        <rFont val="Noto Sans CJK SC"/>
        <charset val="134"/>
      </rPr>
      <t>今天</t>
    </r>
    <r>
      <rPr>
        <sz val="10"/>
        <color rgb="FF000000"/>
        <rFont val="Arial"/>
        <charset val="134"/>
      </rPr>
      <t>+30</t>
    </r>
    <r>
      <rPr>
        <sz val="10"/>
        <color rgb="FF000000"/>
        <rFont val="Noto Sans CJK SC"/>
        <charset val="134"/>
      </rPr>
      <t xml:space="preserve">天 且 </t>
    </r>
    <r>
      <rPr>
        <sz val="10"/>
        <color rgb="FF000000"/>
        <rFont val="Arial"/>
        <charset val="134"/>
      </rPr>
      <t>deleted=0</t>
    </r>
    <r>
      <rPr>
        <sz val="10"/>
        <color rgb="FF000000"/>
        <rFont val="Noto Sans CJK SC"/>
        <charset val="134"/>
      </rPr>
      <t>）→ 取关联</t>
    </r>
    <r>
      <rPr>
        <sz val="10"/>
        <color rgb="FF000000"/>
        <rFont val="Arial"/>
        <charset val="134"/>
      </rPr>
      <t>ins_policy_member_bind</t>
    </r>
    <r>
      <rPr>
        <sz val="10"/>
        <color rgb="FF000000"/>
        <rFont val="Noto Sans CJK SC"/>
        <charset val="134"/>
      </rPr>
      <t>（</t>
    </r>
    <r>
      <rPr>
        <sz val="10"/>
        <color rgb="FF000000"/>
        <rFont val="Arial"/>
        <charset val="134"/>
      </rPr>
      <t>renew_remind=true</t>
    </r>
    <r>
      <rPr>
        <sz val="10"/>
        <color rgb="FF000000"/>
        <rFont val="Noto Sans CJK SC"/>
        <charset val="134"/>
      </rPr>
      <t>）→ 调微信订阅消息</t>
    </r>
    <r>
      <rPr>
        <sz val="10"/>
        <color rgb="FF000000"/>
        <rFont val="Arial"/>
        <charset val="134"/>
      </rPr>
      <t>API</t>
    </r>
    <r>
      <rPr>
        <sz val="10"/>
        <color rgb="FF000000"/>
        <rFont val="Noto Sans CJK SC"/>
        <charset val="134"/>
      </rPr>
      <t>发送提醒（模板：「您的</t>
    </r>
    <r>
      <rPr>
        <sz val="10"/>
        <color rgb="FF000000"/>
        <rFont val="Arial"/>
        <charset val="134"/>
      </rPr>
      <t>[</t>
    </r>
    <r>
      <rPr>
        <sz val="10"/>
        <color rgb="FF000000"/>
        <rFont val="Noto Sans CJK SC"/>
        <charset val="134"/>
      </rPr>
      <t>产品名称</t>
    </r>
    <r>
      <rPr>
        <sz val="10"/>
        <color rgb="FF000000"/>
        <rFont val="Arial"/>
        <charset val="134"/>
      </rPr>
      <t>]</t>
    </r>
    <r>
      <rPr>
        <sz val="10"/>
        <color rgb="FF000000"/>
        <rFont val="Noto Sans CJK SC"/>
        <charset val="134"/>
      </rPr>
      <t>保险将于</t>
    </r>
    <r>
      <rPr>
        <sz val="10"/>
        <color rgb="FF000000"/>
        <rFont val="Arial"/>
        <charset val="134"/>
      </rPr>
      <t>[</t>
    </r>
    <r>
      <rPr>
        <sz val="10"/>
        <color rgb="FF000000"/>
        <rFont val="Noto Sans CJK SC"/>
        <charset val="134"/>
      </rPr>
      <t>到期日</t>
    </r>
    <r>
      <rPr>
        <sz val="10"/>
        <color rgb="FF000000"/>
        <rFont val="Arial"/>
        <charset val="134"/>
      </rPr>
      <t>]</t>
    </r>
    <r>
      <rPr>
        <sz val="10"/>
        <color rgb="FF000000"/>
        <rFont val="Noto Sans CJK SC"/>
        <charset val="134"/>
      </rPr>
      <t>到期，请及时续保」）→ 记录</t>
    </r>
    <r>
      <rPr>
        <sz val="10"/>
        <color rgb="FF000000"/>
        <rFont val="Arial"/>
        <charset val="134"/>
      </rPr>
      <t>ins_remind_log</t>
    </r>
    <r>
      <rPr>
        <sz val="10"/>
        <color rgb="FF000000"/>
        <rFont val="Noto Sans CJK SC"/>
        <charset val="134"/>
      </rPr>
      <t>（</t>
    </r>
    <r>
      <rPr>
        <sz val="10"/>
        <color rgb="FF000000"/>
        <rFont val="Arial"/>
        <charset val="134"/>
      </rPr>
      <t>policy_id/member_id/send_time/send_status/wx_msg_id</t>
    </r>
    <r>
      <rPr>
        <sz val="10"/>
        <color rgb="FF000000"/>
        <rFont val="Noto Sans CJK SC"/>
        <charset val="134"/>
      </rPr>
      <t>）</t>
    </r>
  </si>
  <si>
    <r>
      <rPr>
        <sz val="10"/>
        <color rgb="FF000000"/>
        <rFont val="Arial"/>
        <charset val="134"/>
      </rPr>
      <t>XXL-Job</t>
    </r>
    <r>
      <rPr>
        <sz val="10"/>
        <color rgb="FF000000"/>
        <rFont val="Noto Sans CJK SC"/>
        <charset val="134"/>
      </rPr>
      <t>定时任务；微信订阅消息</t>
    </r>
    <r>
      <rPr>
        <sz val="10"/>
        <color rgb="FF000000"/>
        <rFont val="Arial"/>
        <charset val="134"/>
      </rPr>
      <t>API</t>
    </r>
    <r>
      <rPr>
        <sz val="10"/>
        <color rgb="FF000000"/>
        <rFont val="Noto Sans CJK SC"/>
        <charset val="134"/>
      </rPr>
      <t>（</t>
    </r>
    <r>
      <rPr>
        <sz val="10"/>
        <color rgb="FF000000"/>
        <rFont val="Arial"/>
        <charset val="134"/>
      </rPr>
      <t>template_id</t>
    </r>
    <r>
      <rPr>
        <sz val="10"/>
        <color rgb="FF000000"/>
        <rFont val="Noto Sans CJK SC"/>
        <charset val="134"/>
      </rPr>
      <t>配置化）；发送失败重试（最多</t>
    </r>
    <r>
      <rPr>
        <sz val="10"/>
        <color rgb="FF000000"/>
        <rFont val="Arial"/>
        <charset val="134"/>
      </rPr>
      <t>3</t>
    </r>
    <r>
      <rPr>
        <sz val="10"/>
        <color rgb="FF000000"/>
        <rFont val="Noto Sans CJK SC"/>
        <charset val="134"/>
      </rPr>
      <t>次）</t>
    </r>
  </si>
  <si>
    <t>工时合计</t>
  </si>
  <si>
    <t>（前端工时 + 后端工时）</t>
  </si>
  <si>
    <t>基础架构搭建</t>
  </si>
  <si>
    <t>3月已派</t>
  </si>
  <si>
    <t>项目初始化</t>
  </si>
  <si>
    <t>基于yudao-cloud微服务框架创建carins模块骨架，配置pom依赖关系、包结构（controller/service/dal/convert），初始化Spring Boot启动类</t>
  </si>
  <si>
    <r>
      <rPr>
        <sz val="10"/>
        <color rgb="FF000000"/>
        <rFont val="Arial"/>
        <charset val="1"/>
      </rPr>
      <t>Maven</t>
    </r>
    <r>
      <rPr>
        <sz val="10"/>
        <color rgb="FF000000"/>
        <rFont val="Noto Sans CJK SC"/>
        <charset val="134"/>
      </rPr>
      <t>多模块管理，服务间</t>
    </r>
    <r>
      <rPr>
        <sz val="10"/>
        <color rgb="FF000000"/>
        <rFont val="Arial"/>
        <charset val="1"/>
      </rPr>
      <t>Feign</t>
    </r>
    <r>
      <rPr>
        <sz val="10"/>
        <color rgb="FF000000"/>
        <rFont val="Noto Sans CJK SC"/>
        <charset val="134"/>
      </rPr>
      <t>调用配置</t>
    </r>
  </si>
  <si>
    <t>框架自带</t>
  </si>
  <si>
    <t>核心数据库设计</t>
  </si>
  <si>
    <t>设计并创建车险核心表：carins_vehicle（车辆档案）、carins_quote_request（报价请求）、carins_quote_result（报价结果）、carins_policy（保单）、carins_renewal_task（续保任务），含完整字段、索引、注释</t>
  </si>
  <si>
    <r>
      <rPr>
        <sz val="10"/>
        <color rgb="FF000000"/>
        <rFont val="Arial"/>
        <charset val="1"/>
      </rPr>
      <t>ER</t>
    </r>
    <r>
      <rPr>
        <sz val="10"/>
        <color rgb="FF000000"/>
        <rFont val="Noto Sans CJK SC"/>
        <charset val="134"/>
      </rPr>
      <t>图设计，联合索引优化，</t>
    </r>
    <r>
      <rPr>
        <sz val="10"/>
        <color rgb="FF000000"/>
        <rFont val="Arial"/>
        <charset val="1"/>
      </rPr>
      <t>JSON</t>
    </r>
    <r>
      <rPr>
        <sz val="10"/>
        <color rgb="FF000000"/>
        <rFont val="Noto Sans CJK SC"/>
        <charset val="134"/>
      </rPr>
      <t>字段使用</t>
    </r>
  </si>
  <si>
    <t>统一枚举与常量</t>
  </si>
  <si>
    <t>定义QuoteStatusEnum（报价状态）、InsurerCodeEnum（保司代码）、VehicleUseTypeEnum（使用性质）、RenewalTaskPriorityEnum等枚举类；定义统一错误码常量（E001-E011）</t>
  </si>
  <si>
    <t>枚举序列化配置，Jackson枚举处理</t>
  </si>
  <si>
    <t>用户体系</t>
  </si>
  <si>
    <t>业务员注册</t>
  </si>
  <si>
    <t>手机号+验证码注册：前端输入手机号→点击发送验证码→后端调阿里云短信发送6位数字码存Redis(TTL 5分钟)→前端填验证码+密码→后端校验验证码→BCrypt加密密码→INSERT sys_users，分配AGENT角色</t>
  </si>
  <si>
    <r>
      <rPr>
        <sz val="10"/>
        <color rgb="FF000000"/>
        <rFont val="Arial"/>
        <charset val="1"/>
      </rPr>
      <t>BCrypt</t>
    </r>
    <r>
      <rPr>
        <sz val="10"/>
        <color rgb="FF000000"/>
        <rFont val="Noto Sans CJK SC"/>
        <charset val="134"/>
      </rPr>
      <t>密码加密，短信</t>
    </r>
    <r>
      <rPr>
        <sz val="10"/>
        <color rgb="FF000000"/>
        <rFont val="Arial"/>
        <charset val="1"/>
      </rPr>
      <t>SDK</t>
    </r>
    <r>
      <rPr>
        <sz val="10"/>
        <color rgb="FF000000"/>
        <rFont val="Noto Sans CJK SC"/>
        <charset val="134"/>
      </rPr>
      <t>集成，验证码防刷（同一手机号</t>
    </r>
    <r>
      <rPr>
        <sz val="10"/>
        <color rgb="FF000000"/>
        <rFont val="Arial"/>
        <charset val="1"/>
      </rPr>
      <t>1</t>
    </r>
    <r>
      <rPr>
        <sz val="10"/>
        <color rgb="FF000000"/>
        <rFont val="Noto Sans CJK SC"/>
        <charset val="134"/>
      </rPr>
      <t>分钟内只发</t>
    </r>
    <r>
      <rPr>
        <sz val="10"/>
        <color rgb="FF000000"/>
        <rFont val="Arial"/>
        <charset val="1"/>
      </rPr>
      <t>1</t>
    </r>
    <r>
      <rPr>
        <sz val="10"/>
        <color rgb="FF000000"/>
        <rFont val="Noto Sans CJK SC"/>
        <charset val="134"/>
      </rPr>
      <t>次）</t>
    </r>
  </si>
  <si>
    <t>业务员登录</t>
  </si>
  <si>
    <t>账号密码登录：输入手机号+密码→后端校验账号是否存在、密码是否正确（BCrypt对比）→校验账号状态（正常/冻结/待审核）→生成JWT Token（含userId/tenantId/roles，有效期7天）→返回Token</t>
  </si>
  <si>
    <r>
      <rPr>
        <sz val="10"/>
        <color rgb="FF000000"/>
        <rFont val="Arial"/>
        <charset val="1"/>
      </rPr>
      <t>JWT Token</t>
    </r>
    <r>
      <rPr>
        <sz val="10"/>
        <color rgb="FF000000"/>
        <rFont val="Noto Sans CJK SC"/>
        <charset val="134"/>
      </rPr>
      <t>生成，</t>
    </r>
    <r>
      <rPr>
        <sz val="10"/>
        <color rgb="FF000000"/>
        <rFont val="Arial"/>
        <charset val="1"/>
      </rPr>
      <t>Redis</t>
    </r>
    <r>
      <rPr>
        <sz val="10"/>
        <color rgb="FF000000"/>
        <rFont val="Noto Sans CJK SC"/>
        <charset val="134"/>
      </rPr>
      <t>存储登录状态，异地登录检测</t>
    </r>
  </si>
  <si>
    <t>业务员资质认证</t>
  </si>
  <si>
    <t>业务员上传代理人资格证书：前端选择图片→上传OSS→后端调OCR识别证书信息（姓名、证书编号、有效期）→回填表单→业务员确认→提交至PC后台待审核队列；审核通过后账号状态变为"已认证"</t>
  </si>
  <si>
    <r>
      <rPr>
        <sz val="10"/>
        <color rgb="FF000000"/>
        <rFont val="Arial"/>
        <charset val="1"/>
      </rPr>
      <t>OCR</t>
    </r>
    <r>
      <rPr>
        <sz val="10"/>
        <color rgb="FF000000"/>
        <rFont val="Noto Sans CJK SC"/>
        <charset val="134"/>
      </rPr>
      <t>识别证件，文件上传至</t>
    </r>
    <r>
      <rPr>
        <sz val="10"/>
        <color rgb="FF000000"/>
        <rFont val="Arial"/>
        <charset val="1"/>
      </rPr>
      <t>OSS</t>
    </r>
    <r>
      <rPr>
        <sz val="10"/>
        <color rgb="FF000000"/>
        <rFont val="Noto Sans CJK SC"/>
        <charset val="134"/>
      </rPr>
      <t>，审核状态流转</t>
    </r>
  </si>
  <si>
    <t>权限与数据隔离</t>
  </si>
  <si>
    <r>
      <rPr>
        <sz val="10"/>
        <color rgb="FF000000"/>
        <rFont val="Arial"/>
        <charset val="1"/>
      </rPr>
      <t>RBAC</t>
    </r>
    <r>
      <rPr>
        <sz val="10"/>
        <color rgb="FF000000"/>
        <rFont val="Noto Sans CJK SC"/>
        <charset val="134"/>
      </rPr>
      <t>角色体系：</t>
    </r>
    <r>
      <rPr>
        <sz val="10"/>
        <color rgb="FF000000"/>
        <rFont val="Arial"/>
        <charset val="1"/>
      </rPr>
      <t>AGENT</t>
    </r>
    <r>
      <rPr>
        <sz val="10"/>
        <color rgb="FF000000"/>
        <rFont val="Noto Sans CJK SC"/>
        <charset val="134"/>
      </rPr>
      <t>（只查本人数据）</t>
    </r>
    <r>
      <rPr>
        <sz val="10"/>
        <color rgb="FF000000"/>
        <rFont val="Arial"/>
        <charset val="1"/>
      </rPr>
      <t>/LEADER</t>
    </r>
    <r>
      <rPr>
        <sz val="10"/>
        <color rgb="FF000000"/>
        <rFont val="Noto Sans CJK SC"/>
        <charset val="134"/>
      </rPr>
      <t>（查团队数据）</t>
    </r>
    <r>
      <rPr>
        <sz val="10"/>
        <color rgb="FF000000"/>
        <rFont val="Arial"/>
        <charset val="1"/>
      </rPr>
      <t>/ADMIN</t>
    </r>
    <r>
      <rPr>
        <sz val="10"/>
        <color rgb="FF000000"/>
        <rFont val="Noto Sans CJK SC"/>
        <charset val="134"/>
      </rPr>
      <t>（查全租户）；所有接口通过</t>
    </r>
    <r>
      <rPr>
        <sz val="10"/>
        <color rgb="FF000000"/>
        <rFont val="Arial"/>
        <charset val="1"/>
      </rPr>
      <t>JWT</t>
    </r>
    <r>
      <rPr>
        <sz val="10"/>
        <color rgb="FF000000"/>
        <rFont val="Noto Sans CJK SC"/>
        <charset val="134"/>
      </rPr>
      <t>解析</t>
    </r>
    <r>
      <rPr>
        <sz val="10"/>
        <color rgb="FF000000"/>
        <rFont val="Arial"/>
        <charset val="1"/>
      </rPr>
      <t>userId+tenantId</t>
    </r>
    <r>
      <rPr>
        <sz val="10"/>
        <color rgb="FF000000"/>
        <rFont val="Noto Sans CJK SC"/>
        <charset val="134"/>
      </rPr>
      <t>，</t>
    </r>
    <r>
      <rPr>
        <sz val="10"/>
        <color rgb="FF000000"/>
        <rFont val="Arial"/>
        <charset val="1"/>
      </rPr>
      <t>MyBatis</t>
    </r>
    <r>
      <rPr>
        <sz val="10"/>
        <color rgb="FF000000"/>
        <rFont val="Noto Sans CJK SC"/>
        <charset val="134"/>
      </rPr>
      <t>拦截器自动注入</t>
    </r>
    <r>
      <rPr>
        <sz val="10"/>
        <color rgb="FF000000"/>
        <rFont val="Arial"/>
        <charset val="1"/>
      </rPr>
      <t>tenant_id</t>
    </r>
    <r>
      <rPr>
        <sz val="10"/>
        <color rgb="FF000000"/>
        <rFont val="Noto Sans CJK SC"/>
        <charset val="134"/>
      </rPr>
      <t>查询条件</t>
    </r>
  </si>
  <si>
    <r>
      <rPr>
        <sz val="10"/>
        <color rgb="FF000000"/>
        <rFont val="Arial"/>
        <charset val="1"/>
      </rPr>
      <t>Spring Security RBAC</t>
    </r>
    <r>
      <rPr>
        <sz val="10"/>
        <color rgb="FF000000"/>
        <rFont val="Noto Sans CJK SC"/>
        <charset val="134"/>
      </rPr>
      <t>，</t>
    </r>
    <r>
      <rPr>
        <sz val="10"/>
        <color rgb="FF000000"/>
        <rFont val="Arial"/>
        <charset val="1"/>
      </rPr>
      <t>MyBatis</t>
    </r>
    <r>
      <rPr>
        <sz val="10"/>
        <color rgb="FF000000"/>
        <rFont val="Noto Sans CJK SC"/>
        <charset val="134"/>
      </rPr>
      <t>租户插件</t>
    </r>
  </si>
  <si>
    <t>查看个人信息（姓名、手机号脱敏、认证状态）；修改密码（校验旧密码→BCrypt加密新密码→UPDATE）；查看本月/累计报价量、报价成功率（从carins_quote_request聚合统计）</t>
  </si>
  <si>
    <t>手机号中间4位脱敏，数据聚合统计</t>
  </si>
  <si>
    <t>车辆信息录入</t>
  </si>
  <si>
    <t>报价入口三选一</t>
  </si>
  <si>
    <t>首页报价Tab进入报价入口页，展示三个按钮：①拍照识别行驶证②输入车牌查档案③手动录入。首次使用弹出拍摄示例引导图（localStorage记录，只弹一次）</t>
  </si>
  <si>
    <r>
      <rPr>
        <sz val="10"/>
        <color rgb="FF000000"/>
        <rFont val="Arial"/>
        <charset val="1"/>
      </rPr>
      <t>uni-app</t>
    </r>
    <r>
      <rPr>
        <sz val="10"/>
        <color rgb="FF000000"/>
        <rFont val="Noto Sans CJK SC"/>
        <charset val="134"/>
      </rPr>
      <t>多端适配，页面路由跳转</t>
    </r>
  </si>
  <si>
    <t>行驶证拍照与OCR识别</t>
  </si>
  <si>
    <t>打开摄像头取景框→前端每帧检测（亮度&lt;30提示补光、高光&gt;20%提示避免反光、边框稳定1秒自动拍照）→上传图片OSS（限jpg/png/10MB，路径/{tenantId}/ocr-temp/{日期}/{uuid}.jpg）→调Deepseek OCR识别→后端字段格式校验（车牌正则/VIN 17位+ISO3779校验码/发动机号6-8位/日期合理性）→按置信度分级展示（≥95绿色/80-94黄色警告/&lt;80红色必须修改）→失败时弹「重新拍摄」或「手动输入」两个选项</t>
  </si>
  <si>
    <r>
      <rPr>
        <sz val="10"/>
        <color rgb="FF000000"/>
        <rFont val="Arial"/>
        <charset val="1"/>
      </rPr>
      <t>Deepseek OCR API</t>
    </r>
    <r>
      <rPr>
        <sz val="10"/>
        <color rgb="FF000000"/>
        <rFont val="Noto Sans CJK SC"/>
        <charset val="134"/>
      </rPr>
      <t>对接，置信度分级渲染，图片实时检测（亮度</t>
    </r>
    <r>
      <rPr>
        <sz val="10"/>
        <color rgb="FF000000"/>
        <rFont val="Arial"/>
        <charset val="1"/>
      </rPr>
      <t>/</t>
    </r>
    <r>
      <rPr>
        <sz val="10"/>
        <color rgb="FF000000"/>
        <rFont val="Noto Sans CJK SC"/>
        <charset val="134"/>
      </rPr>
      <t>边框）</t>
    </r>
  </si>
  <si>
    <t>车牌查历史档案</t>
  </si>
  <si>
    <t>业务员输入车牌号（前端实时格式校验）→调 GET /vehicle/query-by-plate →后端按权限过滤查carins_vehicle（业务员只查自己的）→返回档案列表（按update_time倒序）→业务员选择某条档案→信息自动回填到表单；无结果时提示「未找到档案，请手动录入」</t>
  </si>
  <si>
    <t>车牌格式正则校验，按角色的数据权限过滤</t>
  </si>
  <si>
    <r>
      <rPr>
        <sz val="10"/>
        <color rgb="FF000000"/>
        <rFont val="Arial"/>
        <charset val="1"/>
      </rPr>
      <t>VIN</t>
    </r>
    <r>
      <rPr>
        <sz val="10"/>
        <color rgb="FF000000"/>
        <rFont val="Noto Sans CJK SC"/>
        <charset val="134"/>
      </rPr>
      <t>码智能解析</t>
    </r>
  </si>
  <si>
    <t>用户输入/识别到VIN后，后端自动触发解析：解析前3位WMI推断品牌、第10位推算出厂年份、查车型库模糊匹配→返回suggestBrandName/suggestYear/推荐车款列表，供业务员参考（不强制覆盖已填信息）；同时执行ISO 3779校验码算法验证VIN有效性</t>
  </si>
  <si>
    <r>
      <rPr>
        <sz val="10"/>
        <color rgb="FF000000"/>
        <rFont val="Arial"/>
        <charset val="1"/>
      </rPr>
      <t>VIN</t>
    </r>
    <r>
      <rPr>
        <sz val="10"/>
        <color rgb="FF000000"/>
        <rFont val="Noto Sans CJK SC"/>
        <charset val="134"/>
      </rPr>
      <t>码</t>
    </r>
    <r>
      <rPr>
        <sz val="10"/>
        <color rgb="FF000000"/>
        <rFont val="Arial"/>
        <charset val="1"/>
      </rPr>
      <t>ISO 3779</t>
    </r>
    <r>
      <rPr>
        <sz val="10"/>
        <color rgb="FF000000"/>
        <rFont val="Noto Sans CJK SC"/>
        <charset val="134"/>
      </rPr>
      <t>校验码算法，车型库模糊匹配</t>
    </r>
  </si>
  <si>
    <t>车型三级联动搜索</t>
  </si>
  <si>
    <t>品牌→车系→车款三级联动：支持拼音首字母搜索品牌（如输入"bs"→奔驰/宝马/保时捷）→选品牌加载车系列表（标注停产车系）→选车系加载车款（可按排量+变速箱类型筛选，如"2.0T 自动豪华型"）→选车款后自动回填座位数/整备质量/车型类别；车型库数据缓存Redis 1小时</t>
  </si>
  <si>
    <t>拼音首字母检索，三级联动组件，Redis缓存车型库</t>
  </si>
  <si>
    <t>车辆信息表单校验与保存</t>
  </si>
  <si>
    <t>车辆信息确认页汇总所有字段（车牌/VIN/发动机号/初登日期/座位数/使用性质/车主姓名/手机/证件类型/证件号/品牌车款/新车购置价）→前端逐字段实时校验→点击「下一步」调 POST /vehicle/save-or-update →后端：①必填校验②VIN/车牌重复检测（同租户内弹确认框）③证件号AES-256加密入库④INSERT/UPDATE carins_vehicle⑤若本次经过OCR则回填vehicle_id到carins_ocr_record⑥返回vehicleId跳转投保方案页</t>
  </si>
  <si>
    <r>
      <rPr>
        <sz val="10"/>
        <color rgb="FF000000"/>
        <rFont val="Arial"/>
        <charset val="1"/>
      </rPr>
      <t>AES-256</t>
    </r>
    <r>
      <rPr>
        <sz val="10"/>
        <color rgb="FF000000"/>
        <rFont val="Noto Sans CJK SC"/>
        <charset val="134"/>
      </rPr>
      <t>加密，重复车辆检测</t>
    </r>
    <r>
      <rPr>
        <sz val="10"/>
        <color rgb="FF000000"/>
        <rFont val="Arial"/>
        <charset val="1"/>
      </rPr>
      <t>+</t>
    </r>
    <r>
      <rPr>
        <sz val="10"/>
        <color rgb="FF000000"/>
        <rFont val="Noto Sans CJK SC"/>
        <charset val="134"/>
      </rPr>
      <t>合并确认流程，</t>
    </r>
    <r>
      <rPr>
        <sz val="10"/>
        <color rgb="FF000000"/>
        <rFont val="Arial"/>
        <charset val="1"/>
      </rPr>
      <t>OCR</t>
    </r>
    <r>
      <rPr>
        <sz val="10"/>
        <color rgb="FF000000"/>
        <rFont val="Noto Sans CJK SC"/>
        <charset val="134"/>
      </rPr>
      <t>记录关联</t>
    </r>
  </si>
  <si>
    <t>上年保单回填（续保场景）</t>
  </si>
  <si>
    <t>若carins_vehicle关联有历史carins_policy记录，页面底部展示「上年保单参考」折叠区：显示上年投保公司/险种组合/各险种保额/出险次数/NCD系数/保费合计；提供「沿用上年方案」按钮，点击后自动将上年险种配置预填到投保方案选择页</t>
  </si>
  <si>
    <t>历史保单查询，NCD系数显示，一键回填方案</t>
  </si>
  <si>
    <t>车辆档案变更日志</t>
  </si>
  <si>
    <t>对VIN/发动机号/车牌号/车主姓名/证件号的修改，写入carins_vehicle_change_log（字段名/旧值脱敏/新值脱敏/操作人/时间/变更原因）；检测到车主姓名或证件号变更时前端弹「是否为过户？」确认框，业务员选择「是」则标记过户原因</t>
  </si>
  <si>
    <r>
      <rPr>
        <sz val="10"/>
        <color rgb="FF000000"/>
        <rFont val="Arial"/>
        <charset val="1"/>
      </rPr>
      <t>AOP</t>
    </r>
    <r>
      <rPr>
        <sz val="10"/>
        <color rgb="FF000000"/>
        <rFont val="Noto Sans CJK SC"/>
        <charset val="134"/>
      </rPr>
      <t>切面拦截字段变更，敏感字段脱敏记录</t>
    </r>
  </si>
  <si>
    <t>投保方案配置</t>
  </si>
  <si>
    <t>方案模板快选</t>
  </si>
  <si>
    <t>顶部提供预设模板按钮：经济型（交强+50万三者险）/标准型（交强+100万三者+车损+1万/座司乘+玻璃划痕）/全面型（交强+200万三者+车损不计免赔+5万/座司乘+涉水自燃划痕进口玻璃轮胎）；点击模板自动填充险种配置区；后端接口按地区返回模板（南方默认勾涉水险，北方默认勾自燃险）；车龄&gt;6年自动禁用划痕险</t>
  </si>
  <si>
    <t>地域适配逻辑（按省份配置），车龄计算自动置灰险种</t>
  </si>
  <si>
    <t>险种选择与联动规则</t>
  </si>
  <si>
    <t>交强险强制勾选置灰不可取消；三者险保额11个档位（5万/10万/.../1000万，默认100万，车价&gt;50万默认200万）；车损险保额=新车购置价×(1-9%)^车龄（最大折旧80%，前端只读展示）；附加险前置依赖：涉水险/不计免赔/专修厂险须先勾车损险（否则置灰）；玻璃险国产/进口二选一互斥；营运车辆自动勾锁承运人责任险</t>
  </si>
  <si>
    <t>险种联动规则引擎，车辆实际价值折旧计算，互斥/依赖校验</t>
  </si>
  <si>
    <t>增值服务配置</t>
  </si>
  <si>
    <t>展示道路救援（基础版100km/豪华版300km）、代驾服务（3次/年）、快速理赔通道等；增值服务单价从carins_value_added_service表动态拉取（管理员后台维护）；业务员勾选后记录在报价请求的value_added字段（JSON）</t>
  </si>
  <si>
    <t>增值服务配置化，价格动态加载</t>
  </si>
  <si>
    <t>方案提交初始化报价</t>
  </si>
  <si>
    <t>业务员配置完险种点击「开始报价」→前端组装biConfig JSON（各险种是否选中+保额）→调 POST /quote/init-request →后端：①校验vehicleId归属②校验险种前置条件（如车损未选却选了涉水险返回400）③生成quote_no（QT+yyyyMMdd+8位序列号）④INSERT carins_quote_request（status=PENDING）⑤返回quoteRequestId，前端跳转报价结果页并触发询价</t>
  </si>
  <si>
    <t>险种前置条件服务端校验，quote_no唯一序列号生成</t>
  </si>
  <si>
    <t>多保司并发报价引擎</t>
  </si>
  <si>
    <t>保司配置管理（后台）</t>
  </si>
  <si>
    <t>管理员在PC后台维护carins_insurer_config表：保司代码/名称/适配器类名/API地址/AppKey/AppSecret（加密存储）/超时时间/重试次数/全局启用开关/优先级/报价有效天数/分地区启用配置JSON；变更立即生效（无需重启，系统每次报价动态读取）</t>
  </si>
  <si>
    <t>适配器Class动态加载，敏感配置加密存储</t>
  </si>
  <si>
    <t>保司接口适配器</t>
  </si>
  <si>
    <t>所有保司适配器实现统一InsurerQuoteService接口（方法：quote/renewalQuery/isAvailable）；适配器内完成字段映射（日期格式yyyyMMdd/yyyy-MM-dd HH:mm:ss/yyyy/MM/dd，金额单位元/万元转换，枚举值映射如使用性质1→A/01/FAM）；字段映射关系存carins_insurer_field_mapping表，支持热更新</t>
  </si>
  <si>
    <t>适配器模式，字段映射配置化热更新，多种数据格式转换</t>
  </si>
  <si>
    <t>并发询价引擎核心</t>
  </si>
  <si>
    <t>收到发起询价请求→查询当前租户已启用保司列表（按priority排序）→每家保司独立线程池（大小5）使用CompletableFuture并发调用各适配器→单保司超时10秒自动超时（可配置）→全局20秒后强制聚合已有结果；超时/5xx错误自动重试1次（间隔2秒）；业务拒保/需核保不重试；1分钟内失败率&gt;80%触发熔断（停用5分钟，5分钟后半开探测）</t>
  </si>
  <si>
    <r>
      <rPr>
        <sz val="10"/>
        <color rgb="FF000000"/>
        <rFont val="Arial"/>
        <charset val="1"/>
      </rPr>
      <t>CompletableFuture</t>
    </r>
    <r>
      <rPr>
        <sz val="10"/>
        <color rgb="FF000000"/>
        <rFont val="Noto Sans CJK SC"/>
        <charset val="134"/>
      </rPr>
      <t>并发控制，线程池隔离，</t>
    </r>
    <r>
      <rPr>
        <sz val="10"/>
        <color rgb="FF000000"/>
        <rFont val="Arial"/>
        <charset val="1"/>
      </rPr>
      <t>Sentinel</t>
    </r>
    <r>
      <rPr>
        <sz val="10"/>
        <color rgb="FF000000"/>
        <rFont val="Noto Sans CJK SC"/>
        <charset val="134"/>
      </rPr>
      <t>熔断降级，重试策略</t>
    </r>
  </si>
  <si>
    <t>报价结果校验入库</t>
  </si>
  <si>
    <t>每家保司返回后立即入库carins_quote_result：①数据完整性校验（总保费=交强+商业+车船税，误差≤0.01）②费率系数合理性校验（NCD 0.6-2.0，自主核保/渠道系数0.85-1.15）③价格异常标注（比均价低30%标PRICE_TOO_LOW，高50%标PRICE_TOO_HIGH）④入库rate_details JSON（含各险种明细和系数）；校验失败记录WARNING日志，该条标记E007</t>
  </si>
  <si>
    <t>数据完整性与合理性校验，JSON结构化存储费率明细</t>
  </si>
  <si>
    <t>报价进度轮询展示</t>
  </si>
  <si>
    <t>前端发起询价后立即进入报价结果页，展示进度条（已完成N家/共M家）；每2秒调GET /quote/status轮询；最长等待20秒强制展示；最终按：成功报价（total_premium升序，最低价标「推荐」角标）→等待核保→失败报价 排序；成功卡片展示保司/总保费/折扣/展开险种明细/费率系数；失败卡片展示错误文案+操作按钮（见错误码表）</t>
  </si>
  <si>
    <t>轮询机制，实时进度展示，报价卡片渲染，排序逻辑</t>
  </si>
  <si>
    <t>方案在线调整重新询价</t>
  </si>
  <si>
    <t>报价结果页顶部「修改方案」按钮展开险种配置区→调整险种后点「重新报价」→保持vehicleId不变，以新险种配置覆盖旧配置重新走询价流程（生成新quoteRequestId）；单保司可单独重试（POST /quote/retry-single）</t>
  </si>
  <si>
    <t>方案调整不清空车辆信息，单保司独立重试</t>
  </si>
  <si>
    <t>报价单生成与分享</t>
  </si>
  <si>
    <r>
      <rPr>
        <sz val="10"/>
        <color rgb="FF000000"/>
        <rFont val="Arial"/>
        <charset val="1"/>
      </rPr>
      <t>PDF</t>
    </r>
    <r>
      <rPr>
        <sz val="10"/>
        <color rgb="FF000000"/>
        <rFont val="Noto Sans CJK SC"/>
        <charset val="134"/>
      </rPr>
      <t>报价单生成</t>
    </r>
  </si>
  <si>
    <t>业务员选中某保司方案点击「生成报价单」→调POST /quote/generate-pdf（指定quoteResultId+模板代码STANDARD/WARM/PROMO）→后端发MQ消息异步生成PDF→前端每2秒轮询pdf-status接口→PDF生成完上传OSS（路径/{tenantId}/quotes/{quoteNo}.pdf）→返回pdfUrl供预览/下载；PDF内容：公司Logo+报价单号+业务员信息+专属二维码+车辆信息+险种明细表格+费率系数说明+增值服务+免责声明；证件号脱敏（前3位+***+后4位）</t>
  </si>
  <si>
    <r>
      <rPr>
        <sz val="10"/>
        <color rgb="FF000000"/>
        <rFont val="Arial"/>
        <charset val="1"/>
      </rPr>
      <t>iText7 PDF</t>
    </r>
    <r>
      <rPr>
        <sz val="10"/>
        <color rgb="FF000000"/>
        <rFont val="Noto Sans CJK SC"/>
        <charset val="134"/>
      </rPr>
      <t>生成，</t>
    </r>
    <r>
      <rPr>
        <sz val="10"/>
        <color rgb="FF000000"/>
        <rFont val="Arial"/>
        <charset val="1"/>
      </rPr>
      <t>MQ</t>
    </r>
    <r>
      <rPr>
        <sz val="10"/>
        <color rgb="FF000000"/>
        <rFont val="Noto Sans CJK SC"/>
        <charset val="134"/>
      </rPr>
      <t>异步</t>
    </r>
    <r>
      <rPr>
        <sz val="10"/>
        <color rgb="FF000000"/>
        <rFont val="Arial"/>
        <charset val="1"/>
      </rPr>
      <t>+</t>
    </r>
    <r>
      <rPr>
        <sz val="10"/>
        <color rgb="FF000000"/>
        <rFont val="Noto Sans CJK SC"/>
        <charset val="134"/>
      </rPr>
      <t>轮询，</t>
    </r>
    <r>
      <rPr>
        <sz val="10"/>
        <color rgb="FF000000"/>
        <rFont val="Arial"/>
        <charset val="1"/>
      </rPr>
      <t>OSS</t>
    </r>
    <r>
      <rPr>
        <sz val="10"/>
        <color rgb="FF000000"/>
        <rFont val="Noto Sans CJK SC"/>
        <charset val="134"/>
      </rPr>
      <t>存储，二维码生成，内容脱敏</t>
    </r>
  </si>
  <si>
    <r>
      <rPr>
        <sz val="10"/>
        <color rgb="FF000000"/>
        <rFont val="Arial"/>
        <charset val="1"/>
      </rPr>
      <t>H5</t>
    </r>
    <r>
      <rPr>
        <sz val="10"/>
        <color rgb="FF000000"/>
        <rFont val="Noto Sans CJK SC"/>
        <charset val="134"/>
      </rPr>
      <t>分享页生成与追踪</t>
    </r>
  </si>
  <si>
    <t>调POST /quote/generate-h5（传quoteRequestId，包含所有保司结果）→后端生成唯一8位shareCode存Redis（TTL 7天）→H5 URL=https://h5.xxx.com/quote/share/{shareCode}→H5页面展示多保司横向滑动卡片对比；客户行为埋点：打开(VIEW_OPEN)/停留&gt;3分钟(STAY_LONG)/点击保司(CLICK_INSURER)/点击联系(CLICK_CONTACT)→实时通知业务员App推送；同一shareCode+同一业务员VIEW_OPEN只触发一次通知（Redis防重复TTL 24h）；shareCode过期后H5展示「报价已失效，请联系业务员」</t>
  </si>
  <si>
    <t>短链/shareCode生成，H5响应式页面，埋点上报，App推送，Redis防重通知</t>
  </si>
  <si>
    <t>报价历史记录</t>
  </si>
  <si>
    <t>业务员可在「历史报价」列表查看本人所有报价记录（按create_time倒序，分页20条/页）；每条展示车牌号/保司/总保费/报价时间/有效期状态；点击进入报价详情可查看完整结果；有效期过期的报价标注「已过期，重新询价」，有效期判断：valid_until &lt; now()</t>
  </si>
  <si>
    <t>历史报价分页查询，有效期实时判断，权限过滤</t>
  </si>
  <si>
    <t>续保管理</t>
  </si>
  <si>
    <t>续保任务自动生成（定时任务）</t>
  </si>
  <si>
    <t>每日凌晨2点RenewalReminderJob执行：扫描carins_vehicle(status=已投保)关联carins_policy(expire_date在60天内)且无有效续保任务的记录→按距到期天数设优先级（≤7天URGENT红色/8-30天HIGH橙色/31-60天NORMAL黄色）→分配给原归属业务员（若离职则找直属上级，若仍无则进公共池）→INSERT carins_renewal_task→批量发App推送通知；负载均衡：某业务员任务&gt;50条时普通优先级自动分流给同团队成员</t>
  </si>
  <si>
    <r>
      <rPr>
        <sz val="10"/>
        <color rgb="FF000000"/>
        <rFont val="Arial"/>
        <charset val="1"/>
      </rPr>
      <t>XXL-Job</t>
    </r>
    <r>
      <rPr>
        <sz val="10"/>
        <color rgb="FF000000"/>
        <rFont val="Noto Sans CJK SC"/>
        <charset val="134"/>
      </rPr>
      <t>定时任务，业务员离职继承链查找，任务负载均衡</t>
    </r>
  </si>
  <si>
    <t>续保任务列表</t>
  </si>
  <si>
    <t>业务员进入「续保」Tab，按优先级分组展示任务列表（紧急/重要/普通Tab切换）；每条任务卡片：车牌号/车主名/车型/到期日/距到期天数（红橙黄色区分）/任务状态/最近跟进时间/本轮报价摘要；支持按状态筛选（待处理/跟进中）；分页20条/页；PENDING状态红点提示未读</t>
  </si>
  <si>
    <t>按优先级分组展示，红点未读提示，Tab筛选，分页</t>
  </si>
  <si>
    <t>续保跟进记录</t>
  </si>
  <si>
    <t>点击任务卡片进入详情页→下方「记录跟进」弹窗：必填：跟进方式(电话/微信/面访/短信)+客户态度(积极/犹豫/拒绝/未接通)+跟进备注(≥10字≤500字)；条件必填：客户态度=犹豫时必须填「下次跟进时间」；选填：客户关注点多选+发送报价单开关（开启后可选已生成的报价单）→提交后：INSERT carins_renewal_follow，更新任务last_follow_time+status=FOLLOWING，若next_follow_time非空则写Redis Sorted Set定时提醒，若send_quote=true则发送报价单短链短信</t>
  </si>
  <si>
    <t>跟进弹窗条件必填，Redis Sorted Set定时提醒，短信发送</t>
  </si>
  <si>
    <t>多渠道续保提醒推送</t>
  </si>
  <si>
    <r>
      <rPr>
        <sz val="10"/>
        <color rgb="FF000000"/>
        <rFont val="Arial"/>
        <charset val="1"/>
      </rPr>
      <t>RenewalSmsJob</t>
    </r>
    <r>
      <rPr>
        <sz val="10"/>
        <color rgb="FF000000"/>
        <rFont val="Noto Sans CJK SC"/>
        <charset val="134"/>
      </rPr>
      <t>每日</t>
    </r>
    <r>
      <rPr>
        <sz val="10"/>
        <color rgb="FF000000"/>
        <rFont val="Arial"/>
        <charset val="1"/>
      </rPr>
      <t>10</t>
    </r>
    <r>
      <rPr>
        <sz val="10"/>
        <color rgb="FF000000"/>
        <rFont val="Noto Sans CJK SC"/>
        <charset val="134"/>
      </rPr>
      <t>点执行：按到期天数触发推送（</t>
    </r>
    <r>
      <rPr>
        <sz val="10"/>
        <color rgb="FF000000"/>
        <rFont val="Arial"/>
        <charset val="1"/>
      </rPr>
      <t>60</t>
    </r>
    <r>
      <rPr>
        <sz val="10"/>
        <color rgb="FF000000"/>
        <rFont val="Noto Sans CJK SC"/>
        <charset val="134"/>
      </rPr>
      <t>天首次</t>
    </r>
    <r>
      <rPr>
        <sz val="10"/>
        <color rgb="FF000000"/>
        <rFont val="Arial"/>
        <charset val="1"/>
      </rPr>
      <t>/30</t>
    </r>
    <r>
      <rPr>
        <sz val="10"/>
        <color rgb="FF000000"/>
        <rFont val="Noto Sans CJK SC"/>
        <charset val="134"/>
      </rPr>
      <t>天中期</t>
    </r>
    <r>
      <rPr>
        <sz val="10"/>
        <color rgb="FF000000"/>
        <rFont val="Arial"/>
        <charset val="1"/>
      </rPr>
      <t>/15</t>
    </r>
    <r>
      <rPr>
        <sz val="10"/>
        <color rgb="FF000000"/>
        <rFont val="Noto Sans CJK SC"/>
        <charset val="134"/>
      </rPr>
      <t>天重要</t>
    </r>
    <r>
      <rPr>
        <sz val="10"/>
        <color rgb="FF000000"/>
        <rFont val="Arial"/>
        <charset val="1"/>
      </rPr>
      <t>/7</t>
    </r>
    <r>
      <rPr>
        <sz val="10"/>
        <color rgb="FF000000"/>
        <rFont val="Noto Sans CJK SC"/>
        <charset val="134"/>
      </rPr>
      <t>天紧急</t>
    </r>
    <r>
      <rPr>
        <sz val="10"/>
        <color rgb="FF000000"/>
        <rFont val="Arial"/>
        <charset val="1"/>
      </rPr>
      <t>/3</t>
    </r>
    <r>
      <rPr>
        <sz val="10"/>
        <color rgb="FF000000"/>
        <rFont val="Noto Sans CJK SC"/>
        <charset val="134"/>
      </rPr>
      <t>天最终）；渠道组合：短信</t>
    </r>
    <r>
      <rPr>
        <sz val="10"/>
        <color rgb="FF000000"/>
        <rFont val="Arial"/>
        <charset val="1"/>
      </rPr>
      <t>+App</t>
    </r>
    <r>
      <rPr>
        <sz val="10"/>
        <color rgb="FF000000"/>
        <rFont val="Noto Sans CJK SC"/>
        <charset val="134"/>
      </rPr>
      <t>推送</t>
    </r>
    <r>
      <rPr>
        <sz val="10"/>
        <color rgb="FF000000"/>
        <rFont val="Arial"/>
        <charset val="1"/>
      </rPr>
      <t>+</t>
    </r>
    <r>
      <rPr>
        <sz val="10"/>
        <color rgb="FF000000"/>
        <rFont val="Noto Sans CJK SC"/>
        <charset val="134"/>
      </rPr>
      <t>微信服务号（按天数配置）；频率限制：同手机号同渠道每</t>
    </r>
    <r>
      <rPr>
        <sz val="10"/>
        <color rgb="FF000000"/>
        <rFont val="Arial"/>
        <charset val="1"/>
      </rPr>
      <t>7</t>
    </r>
    <r>
      <rPr>
        <sz val="10"/>
        <color rgb="FF000000"/>
        <rFont val="Noto Sans CJK SC"/>
        <charset val="134"/>
      </rPr>
      <t>天≤</t>
    </r>
    <r>
      <rPr>
        <sz val="10"/>
        <color rgb="FF000000"/>
        <rFont val="Arial"/>
        <charset val="1"/>
      </rPr>
      <t>2</t>
    </r>
    <r>
      <rPr>
        <sz val="10"/>
        <color rgb="FF000000"/>
        <rFont val="Noto Sans CJK SC"/>
        <charset val="134"/>
      </rPr>
      <t>次，总计≤</t>
    </r>
    <r>
      <rPr>
        <sz val="10"/>
        <color rgb="FF000000"/>
        <rFont val="Arial"/>
        <charset val="1"/>
      </rPr>
      <t>3</t>
    </r>
    <r>
      <rPr>
        <sz val="10"/>
        <color rgb="FF000000"/>
        <rFont val="Noto Sans CJK SC"/>
        <charset val="134"/>
      </rPr>
      <t>次（查</t>
    </r>
    <r>
      <rPr>
        <sz val="10"/>
        <color rgb="FF000000"/>
        <rFont val="Arial"/>
        <charset val="1"/>
      </rPr>
      <t>carins_renewal_notice_log</t>
    </r>
    <r>
      <rPr>
        <sz val="10"/>
        <color rgb="FF000000"/>
        <rFont val="Noto Sans CJK SC"/>
        <charset val="134"/>
      </rPr>
      <t>）；免打扰：短信避开</t>
    </r>
    <r>
      <rPr>
        <sz val="10"/>
        <color rgb="FF000000"/>
        <rFont val="Arial"/>
        <charset val="1"/>
      </rPr>
      <t>21:00-8:00</t>
    </r>
    <r>
      <rPr>
        <sz val="10"/>
        <color rgb="FF000000"/>
        <rFont val="Noto Sans CJK SC"/>
        <charset val="134"/>
      </rPr>
      <t>（超时顺延次日</t>
    </r>
    <r>
      <rPr>
        <sz val="10"/>
        <color rgb="FF000000"/>
        <rFont val="Arial"/>
        <charset val="1"/>
      </rPr>
      <t>10</t>
    </r>
    <r>
      <rPr>
        <sz val="10"/>
        <color rgb="FF000000"/>
        <rFont val="Noto Sans CJK SC"/>
        <charset val="134"/>
      </rPr>
      <t>点）；短信模板含车主姓名</t>
    </r>
    <r>
      <rPr>
        <sz val="10"/>
        <color rgb="FF000000"/>
        <rFont val="Arial"/>
        <charset val="1"/>
      </rPr>
      <t>/</t>
    </r>
    <r>
      <rPr>
        <sz val="10"/>
        <color rgb="FF000000"/>
        <rFont val="Noto Sans CJK SC"/>
        <charset val="134"/>
      </rPr>
      <t>车牌号</t>
    </r>
    <r>
      <rPr>
        <sz val="10"/>
        <color rgb="FF000000"/>
        <rFont val="Arial"/>
        <charset val="1"/>
      </rPr>
      <t>/</t>
    </r>
    <r>
      <rPr>
        <sz val="10"/>
        <color rgb="FF000000"/>
        <rFont val="Noto Sans CJK SC"/>
        <charset val="134"/>
      </rPr>
      <t>到期日</t>
    </r>
    <r>
      <rPr>
        <sz val="10"/>
        <color rgb="FF000000"/>
        <rFont val="Arial"/>
        <charset val="1"/>
      </rPr>
      <t>/</t>
    </r>
    <r>
      <rPr>
        <sz val="10"/>
        <color rgb="FF000000"/>
        <rFont val="Noto Sans CJK SC"/>
        <charset val="134"/>
      </rPr>
      <t>专属续保链接</t>
    </r>
  </si>
  <si>
    <r>
      <rPr>
        <sz val="10"/>
        <color rgb="FF000000"/>
        <rFont val="Arial"/>
        <charset val="1"/>
      </rPr>
      <t>XXL-Job</t>
    </r>
    <r>
      <rPr>
        <sz val="10"/>
        <color rgb="FF000000"/>
        <rFont val="Noto Sans CJK SC"/>
        <charset val="134"/>
      </rPr>
      <t>多渠道推送，频率限制查库，阿里云短信模板，</t>
    </r>
    <r>
      <rPr>
        <sz val="10"/>
        <color rgb="FF000000"/>
        <rFont val="Arial"/>
        <charset val="1"/>
      </rPr>
      <t>App</t>
    </r>
    <r>
      <rPr>
        <sz val="10"/>
        <color rgb="FF000000"/>
        <rFont val="Noto Sans CJK SC"/>
        <charset val="134"/>
      </rPr>
      <t>推送集成</t>
    </r>
  </si>
  <si>
    <t>标记成交/流失</t>
  </si>
  <si>
    <t>成交：填写实收保费/保司/保单号→PUT /renewal/close-won→更新task.status=CLOSED_WON，若有保单号则UPDATE/INSERT carins_policy，更新carins_vehicle.status=已投保，触发客户满意度问卷短信（MQ异步）；
流失：选择流失原因（价格/服务/品牌/竞品/不需要/其他，必选）→PUT /renewal/close-lost→更新task.status=CLOSED_LOST，若原因=不需要则更新vehicle.status=已失效；其余流失次年仍可生成续保任务</t>
  </si>
  <si>
    <t>状态机流转，保单关联，满意度问卷MQ异步触发</t>
  </si>
  <si>
    <t>续保报价快速发起</t>
  </si>
  <si>
    <t>在续保任务详情页点击「发起续保报价」→跳转报价流程Step3（险种配置页），车辆信息从carins_vehicle自动预填，上年保单方案自动预选（沿用上年险种组合）→业务员可直接调整后发起询价，无需重新录入车辆信息</t>
  </si>
  <si>
    <t>历史保单方案预填，跳过车辆信息录入直达方案页</t>
  </si>
  <si>
    <t>智能辅助工具</t>
  </si>
  <si>
    <t>事故快速定损拍照</t>
  </si>
  <si>
    <r>
      <rPr>
        <sz val="11"/>
        <color theme="1"/>
        <rFont val="Noto Sans CJK SC"/>
        <charset val="134"/>
      </rPr>
      <t>业务员协助客户进行出险现场快速定损：调用摄像头多角度拍照（建议</t>
    </r>
    <r>
      <rPr>
        <sz val="11"/>
        <color theme="1"/>
        <rFont val="宋体"/>
        <charset val="134"/>
      </rPr>
      <t>6-8</t>
    </r>
    <r>
      <rPr>
        <sz val="11"/>
        <color theme="1"/>
        <rFont val="Noto Sans CJK SC"/>
        <charset val="134"/>
      </rPr>
      <t>张，含车辆正面</t>
    </r>
    <r>
      <rPr>
        <sz val="11"/>
        <color theme="1"/>
        <rFont val="宋体"/>
        <charset val="134"/>
      </rPr>
      <t>/</t>
    </r>
    <r>
      <rPr>
        <sz val="11"/>
        <color theme="1"/>
        <rFont val="Noto Sans CJK SC"/>
        <charset val="134"/>
      </rPr>
      <t>侧面</t>
    </r>
    <r>
      <rPr>
        <sz val="11"/>
        <color theme="1"/>
        <rFont val="宋体"/>
        <charset val="134"/>
      </rPr>
      <t>/</t>
    </r>
    <r>
      <rPr>
        <sz val="11"/>
        <color theme="1"/>
        <rFont val="Noto Sans CJK SC"/>
        <charset val="134"/>
      </rPr>
      <t>损伤特写）；</t>
    </r>
    <r>
      <rPr>
        <sz val="11"/>
        <color theme="1"/>
        <rFont val="宋体"/>
        <charset val="134"/>
      </rPr>
      <t>AI</t>
    </r>
    <r>
      <rPr>
        <sz val="11"/>
        <color theme="1"/>
        <rFont val="Noto Sans CJK SC"/>
        <charset val="134"/>
      </rPr>
      <t>图像识别损伤部位并输出初步定损报告（损伤描述</t>
    </r>
    <r>
      <rPr>
        <sz val="11"/>
        <color theme="1"/>
        <rFont val="宋体"/>
        <charset val="134"/>
      </rPr>
      <t>+</t>
    </r>
    <r>
      <rPr>
        <sz val="11"/>
        <color theme="1"/>
        <rFont val="Noto Sans CJK SC"/>
        <charset val="134"/>
      </rPr>
      <t>预估修复金额区间）；一键分享给保司理赔员或客户；记录出险日期</t>
    </r>
    <r>
      <rPr>
        <sz val="11"/>
        <color theme="1"/>
        <rFont val="宋体"/>
        <charset val="134"/>
      </rPr>
      <t>/</t>
    </r>
    <r>
      <rPr>
        <sz val="11"/>
        <color theme="1"/>
        <rFont val="Noto Sans CJK SC"/>
        <charset val="134"/>
      </rPr>
      <t>车牌</t>
    </r>
    <r>
      <rPr>
        <sz val="11"/>
        <color theme="1"/>
        <rFont val="宋体"/>
        <charset val="134"/>
      </rPr>
      <t>/</t>
    </r>
    <r>
      <rPr>
        <sz val="11"/>
        <color theme="1"/>
        <rFont val="Noto Sans CJK SC"/>
        <charset val="134"/>
      </rPr>
      <t>事故简述入库；报告</t>
    </r>
    <r>
      <rPr>
        <sz val="11"/>
        <color theme="1"/>
        <rFont val="宋体"/>
        <charset val="134"/>
      </rPr>
      <t>PDF</t>
    </r>
    <r>
      <rPr>
        <sz val="11"/>
        <color theme="1"/>
        <rFont val="Noto Sans CJK SC"/>
        <charset val="134"/>
      </rPr>
      <t>生成</t>
    </r>
    <r>
      <rPr>
        <sz val="11"/>
        <color theme="1"/>
        <rFont val="宋体"/>
        <charset val="134"/>
      </rPr>
      <t>OSS</t>
    </r>
    <r>
      <rPr>
        <sz val="11"/>
        <color theme="1"/>
        <rFont val="Noto Sans CJK SC"/>
        <charset val="134"/>
      </rPr>
      <t>存储。</t>
    </r>
  </si>
  <si>
    <r>
      <rPr>
        <sz val="11"/>
        <color theme="1"/>
        <rFont val="宋体"/>
        <charset val="134"/>
      </rPr>
      <t>AI</t>
    </r>
    <r>
      <rPr>
        <sz val="11"/>
        <color theme="1"/>
        <rFont val="Noto Sans CJK SC"/>
        <charset val="134"/>
      </rPr>
      <t>图像识别损伤分析；</t>
    </r>
    <r>
      <rPr>
        <sz val="11"/>
        <color theme="1"/>
        <rFont val="宋体"/>
        <charset val="134"/>
      </rPr>
      <t>PDF</t>
    </r>
    <r>
      <rPr>
        <sz val="11"/>
        <color theme="1"/>
        <rFont val="Noto Sans CJK SC"/>
        <charset val="134"/>
      </rPr>
      <t>报告生成；多图上传</t>
    </r>
    <r>
      <rPr>
        <sz val="11"/>
        <color theme="1"/>
        <rFont val="宋体"/>
        <charset val="134"/>
      </rPr>
      <t>OSS</t>
    </r>
  </si>
  <si>
    <r>
      <rPr>
        <sz val="11"/>
        <color theme="1"/>
        <rFont val="Noto Sans CJK SC"/>
        <charset val="134"/>
      </rPr>
      <t>前端</t>
    </r>
    <r>
      <rPr>
        <sz val="11"/>
        <color theme="1"/>
        <rFont val="宋体"/>
        <charset val="134"/>
      </rPr>
      <t>+</t>
    </r>
    <r>
      <rPr>
        <sz val="11"/>
        <color theme="1"/>
        <rFont val="Noto Sans CJK SC"/>
        <charset val="134"/>
      </rPr>
      <t>后端</t>
    </r>
  </si>
  <si>
    <t>【新增】</t>
  </si>
  <si>
    <r>
      <rPr>
        <b/>
        <sz val="11"/>
        <color rgb="FF375623"/>
        <rFont val="Noto Sans CJK SC"/>
        <charset val="134"/>
      </rPr>
      <t>车险续保倒计时</t>
    </r>
    <r>
      <rPr>
        <b/>
        <sz val="11"/>
        <color rgb="FF375623"/>
        <rFont val="宋体"/>
        <charset val="134"/>
      </rPr>
      <t>Widget</t>
    </r>
  </si>
  <si>
    <r>
      <rPr>
        <sz val="11"/>
        <color theme="1"/>
        <rFont val="Noto Sans CJK SC"/>
        <charset val="134"/>
      </rPr>
      <t>业务员</t>
    </r>
    <r>
      <rPr>
        <sz val="11"/>
        <color theme="1"/>
        <rFont val="宋体"/>
        <charset val="134"/>
      </rPr>
      <t>App</t>
    </r>
    <r>
      <rPr>
        <sz val="11"/>
        <color theme="1"/>
        <rFont val="Noto Sans CJK SC"/>
        <charset val="134"/>
      </rPr>
      <t>首页顶部显示「今日续保到期」客户数量，点击直达续保任务列表；支持</t>
    </r>
    <r>
      <rPr>
        <sz val="11"/>
        <color theme="1"/>
        <rFont val="宋体"/>
        <charset val="134"/>
      </rPr>
      <t>Android/iOS</t>
    </r>
    <r>
      <rPr>
        <sz val="11"/>
        <color theme="1"/>
        <rFont val="Noto Sans CJK SC"/>
        <charset val="134"/>
      </rPr>
      <t>桌面</t>
    </r>
    <r>
      <rPr>
        <sz val="11"/>
        <color theme="1"/>
        <rFont val="宋体"/>
        <charset val="134"/>
      </rPr>
      <t>Widget</t>
    </r>
    <r>
      <rPr>
        <sz val="11"/>
        <color theme="1"/>
        <rFont val="Noto Sans CJK SC"/>
        <charset val="134"/>
      </rPr>
      <t>（显示最紧急的</t>
    </r>
    <r>
      <rPr>
        <sz val="11"/>
        <color theme="1"/>
        <rFont val="宋体"/>
        <charset val="134"/>
      </rPr>
      <t>3</t>
    </r>
    <r>
      <rPr>
        <sz val="11"/>
        <color theme="1"/>
        <rFont val="Noto Sans CJK SC"/>
        <charset val="134"/>
      </rPr>
      <t>条到期提醒）；未读续保任务红点角标。</t>
    </r>
  </si>
  <si>
    <r>
      <rPr>
        <sz val="11"/>
        <color theme="1"/>
        <rFont val="宋体"/>
        <charset val="134"/>
      </rPr>
      <t>iOS WidgetKit / Android AppWidget</t>
    </r>
    <r>
      <rPr>
        <sz val="11"/>
        <color theme="1"/>
        <rFont val="Noto Sans CJK SC"/>
        <charset val="134"/>
      </rPr>
      <t>；角标更新</t>
    </r>
  </si>
  <si>
    <r>
      <rPr>
        <b/>
        <sz val="11"/>
        <color rgb="FF375623"/>
        <rFont val="Noto Sans CJK SC"/>
        <charset val="134"/>
      </rPr>
      <t>商业险停售</t>
    </r>
    <r>
      <rPr>
        <b/>
        <sz val="11"/>
        <color rgb="FF375623"/>
        <rFont val="宋体"/>
        <charset val="134"/>
      </rPr>
      <t>/</t>
    </r>
    <r>
      <rPr>
        <b/>
        <sz val="11"/>
        <color rgb="FF375623"/>
        <rFont val="Noto Sans CJK SC"/>
        <charset val="134"/>
      </rPr>
      <t>不续保预警</t>
    </r>
  </si>
  <si>
    <r>
      <rPr>
        <sz val="11"/>
        <color theme="1"/>
        <rFont val="Noto Sans CJK SC"/>
        <charset val="134"/>
      </rPr>
      <t>系统维护各保司当地商业险停售公告信息；在保费试算结果页自动标注「该保司在当地已停售</t>
    </r>
    <r>
      <rPr>
        <sz val="11"/>
        <color theme="1"/>
        <rFont val="宋体"/>
        <charset val="134"/>
      </rPr>
      <t>/</t>
    </r>
    <r>
      <rPr>
        <sz val="11"/>
        <color theme="1"/>
        <rFont val="Noto Sans CJK SC"/>
        <charset val="134"/>
      </rPr>
      <t>不续保」；支持后台运营人员配置保司</t>
    </r>
    <r>
      <rPr>
        <sz val="11"/>
        <color theme="1"/>
        <rFont val="宋体"/>
        <charset val="134"/>
      </rPr>
      <t>+</t>
    </r>
    <r>
      <rPr>
        <sz val="11"/>
        <color theme="1"/>
        <rFont val="Noto Sans CJK SC"/>
        <charset val="134"/>
      </rPr>
      <t>省份</t>
    </r>
    <r>
      <rPr>
        <sz val="11"/>
        <color theme="1"/>
        <rFont val="宋体"/>
        <charset val="134"/>
      </rPr>
      <t>+</t>
    </r>
    <r>
      <rPr>
        <sz val="11"/>
        <color theme="1"/>
        <rFont val="Noto Sans CJK SC"/>
        <charset val="134"/>
      </rPr>
      <t>险种维度的不可用规则；前端展示警示标签并隐藏该保司选项。</t>
    </r>
  </si>
  <si>
    <t>保司停售规则配置化；区域过滤逻辑</t>
  </si>
  <si>
    <r>
      <rPr>
        <b/>
        <sz val="11"/>
        <color rgb="FF375623"/>
        <rFont val="Noto Sans CJK SC"/>
        <charset val="134"/>
      </rPr>
      <t>计算器：无赔款优待</t>
    </r>
    <r>
      <rPr>
        <b/>
        <sz val="11"/>
        <color rgb="FF375623"/>
        <rFont val="宋体"/>
        <charset val="134"/>
      </rPr>
      <t>(NCD)</t>
    </r>
    <r>
      <rPr>
        <b/>
        <sz val="11"/>
        <color rgb="FF375623"/>
        <rFont val="Noto Sans CJK SC"/>
        <charset val="134"/>
      </rPr>
      <t>折扣估算</t>
    </r>
  </si>
  <si>
    <r>
      <rPr>
        <sz val="11"/>
        <color theme="1"/>
        <rFont val="Noto Sans CJK SC"/>
        <charset val="134"/>
      </rPr>
      <t>用户输入上年出险次数（</t>
    </r>
    <r>
      <rPr>
        <sz val="11"/>
        <color theme="1"/>
        <rFont val="宋体"/>
        <charset val="134"/>
      </rPr>
      <t>0-5</t>
    </r>
    <r>
      <rPr>
        <sz val="11"/>
        <color theme="1"/>
        <rFont val="Noto Sans CJK SC"/>
        <charset val="134"/>
      </rPr>
      <t>次及以上）→前端实时展示</t>
    </r>
    <r>
      <rPr>
        <sz val="11"/>
        <color theme="1"/>
        <rFont val="宋体"/>
        <charset val="134"/>
      </rPr>
      <t>NCD</t>
    </r>
    <r>
      <rPr>
        <sz val="11"/>
        <color theme="1"/>
        <rFont val="Noto Sans CJK SC"/>
        <charset val="134"/>
      </rPr>
      <t>折扣系数对照表（</t>
    </r>
    <r>
      <rPr>
        <sz val="11"/>
        <color theme="1"/>
        <rFont val="宋体"/>
        <charset val="134"/>
      </rPr>
      <t>0</t>
    </r>
    <r>
      <rPr>
        <sz val="11"/>
        <color theme="1"/>
        <rFont val="Noto Sans CJK SC"/>
        <charset val="134"/>
      </rPr>
      <t>次</t>
    </r>
    <r>
      <rPr>
        <sz val="11"/>
        <color theme="1"/>
        <rFont val="宋体"/>
        <charset val="134"/>
      </rPr>
      <t>=0.85/1</t>
    </r>
    <r>
      <rPr>
        <sz val="11"/>
        <color theme="1"/>
        <rFont val="Noto Sans CJK SC"/>
        <charset val="134"/>
      </rPr>
      <t>次</t>
    </r>
    <r>
      <rPr>
        <sz val="11"/>
        <color theme="1"/>
        <rFont val="宋体"/>
        <charset val="134"/>
      </rPr>
      <t>=0.9/2</t>
    </r>
    <r>
      <rPr>
        <sz val="11"/>
        <color theme="1"/>
        <rFont val="Noto Sans CJK SC"/>
        <charset val="134"/>
      </rPr>
      <t>次</t>
    </r>
    <r>
      <rPr>
        <sz val="11"/>
        <color theme="1"/>
        <rFont val="宋体"/>
        <charset val="134"/>
      </rPr>
      <t>=1.0/3</t>
    </r>
    <r>
      <rPr>
        <sz val="11"/>
        <color theme="1"/>
        <rFont val="Noto Sans CJK SC"/>
        <charset val="134"/>
      </rPr>
      <t>次</t>
    </r>
    <r>
      <rPr>
        <sz val="11"/>
        <color theme="1"/>
        <rFont val="宋体"/>
        <charset val="134"/>
      </rPr>
      <t>=1.1</t>
    </r>
    <r>
      <rPr>
        <sz val="11"/>
        <color theme="1"/>
        <rFont val="Noto Sans CJK SC"/>
        <charset val="134"/>
      </rPr>
      <t>）及当年预估保费节省</t>
    </r>
    <r>
      <rPr>
        <sz val="11"/>
        <color theme="1"/>
        <rFont val="宋体"/>
        <charset val="134"/>
      </rPr>
      <t>/</t>
    </r>
    <r>
      <rPr>
        <sz val="11"/>
        <color theme="1"/>
        <rFont val="Noto Sans CJK SC"/>
        <charset val="134"/>
      </rPr>
      <t>增加金额；根据已选险种联动计算；结果仅供参考，非承保依据。</t>
    </r>
  </si>
  <si>
    <r>
      <rPr>
        <sz val="11"/>
        <color theme="1"/>
        <rFont val="宋体"/>
        <charset val="134"/>
      </rPr>
      <t>NCD</t>
    </r>
    <r>
      <rPr>
        <sz val="11"/>
        <color theme="1"/>
        <rFont val="Noto Sans CJK SC"/>
        <charset val="134"/>
      </rPr>
      <t>系数配置化；前端实时计算无需接口</t>
    </r>
  </si>
  <si>
    <t>客户服务增强</t>
  </si>
  <si>
    <r>
      <rPr>
        <b/>
        <sz val="11"/>
        <color rgb="FF375623"/>
        <rFont val="Noto Sans CJK SC"/>
        <charset val="134"/>
      </rPr>
      <t>一键发送电子卡单（微信</t>
    </r>
    <r>
      <rPr>
        <b/>
        <sz val="11"/>
        <color rgb="FF375623"/>
        <rFont val="宋体"/>
        <charset val="134"/>
      </rPr>
      <t>/</t>
    </r>
    <r>
      <rPr>
        <b/>
        <sz val="11"/>
        <color rgb="FF375623"/>
        <rFont val="Noto Sans CJK SC"/>
        <charset val="134"/>
      </rPr>
      <t>短信）</t>
    </r>
  </si>
  <si>
    <r>
      <rPr>
        <sz val="11"/>
        <color theme="1"/>
        <rFont val="Noto Sans CJK SC"/>
        <charset val="134"/>
      </rPr>
      <t>报价确认后或保单生效后，业务员一键将「保险信息卡」以图片形式分享至客户微信或短信；图片内容：险种</t>
    </r>
    <r>
      <rPr>
        <sz val="11"/>
        <color theme="1"/>
        <rFont val="宋体"/>
        <charset val="134"/>
      </rPr>
      <t>/</t>
    </r>
    <r>
      <rPr>
        <sz val="11"/>
        <color theme="1"/>
        <rFont val="Noto Sans CJK SC"/>
        <charset val="134"/>
      </rPr>
      <t>保司</t>
    </r>
    <r>
      <rPr>
        <sz val="11"/>
        <color theme="1"/>
        <rFont val="宋体"/>
        <charset val="134"/>
      </rPr>
      <t>/</t>
    </r>
    <r>
      <rPr>
        <sz val="11"/>
        <color theme="1"/>
        <rFont val="Noto Sans CJK SC"/>
        <charset val="134"/>
      </rPr>
      <t>保额</t>
    </r>
    <r>
      <rPr>
        <sz val="11"/>
        <color theme="1"/>
        <rFont val="宋体"/>
        <charset val="134"/>
      </rPr>
      <t>/</t>
    </r>
    <r>
      <rPr>
        <sz val="11"/>
        <color theme="1"/>
        <rFont val="Noto Sans CJK SC"/>
        <charset val="134"/>
      </rPr>
      <t>起止日期</t>
    </r>
    <r>
      <rPr>
        <sz val="11"/>
        <color theme="1"/>
        <rFont val="宋体"/>
        <charset val="134"/>
      </rPr>
      <t>/</t>
    </r>
    <r>
      <rPr>
        <sz val="11"/>
        <color theme="1"/>
        <rFont val="Noto Sans CJK SC"/>
        <charset val="134"/>
      </rPr>
      <t>报案电话</t>
    </r>
    <r>
      <rPr>
        <sz val="11"/>
        <color theme="1"/>
        <rFont val="宋体"/>
        <charset val="134"/>
      </rPr>
      <t>/</t>
    </r>
    <r>
      <rPr>
        <sz val="11"/>
        <color theme="1"/>
        <rFont val="Noto Sans CJK SC"/>
        <charset val="134"/>
      </rPr>
      <t>业务员联系方式；图片由后端</t>
    </r>
    <r>
      <rPr>
        <sz val="11"/>
        <color theme="1"/>
        <rFont val="宋体"/>
        <charset val="134"/>
      </rPr>
      <t>Canvas/Skia</t>
    </r>
    <r>
      <rPr>
        <sz val="11"/>
        <color theme="1"/>
        <rFont val="Noto Sans CJK SC"/>
        <charset val="134"/>
      </rPr>
      <t>生成并上传</t>
    </r>
    <r>
      <rPr>
        <sz val="11"/>
        <color theme="1"/>
        <rFont val="宋体"/>
        <charset val="134"/>
      </rPr>
      <t>OSS</t>
    </r>
    <r>
      <rPr>
        <sz val="11"/>
        <color theme="1"/>
        <rFont val="Noto Sans CJK SC"/>
        <charset val="134"/>
      </rPr>
      <t>，含二维码跳转保单详情</t>
    </r>
    <r>
      <rPr>
        <sz val="11"/>
        <color theme="1"/>
        <rFont val="宋体"/>
        <charset val="134"/>
      </rPr>
      <t>H5</t>
    </r>
    <r>
      <rPr>
        <sz val="11"/>
        <color theme="1"/>
        <rFont val="Noto Sans CJK SC"/>
        <charset val="134"/>
      </rPr>
      <t>。</t>
    </r>
  </si>
  <si>
    <r>
      <rPr>
        <sz val="11"/>
        <color theme="1"/>
        <rFont val="Noto Sans CJK SC"/>
        <charset val="134"/>
      </rPr>
      <t>服务端</t>
    </r>
    <r>
      <rPr>
        <sz val="11"/>
        <color theme="1"/>
        <rFont val="宋体"/>
        <charset val="134"/>
      </rPr>
      <t>Canvas</t>
    </r>
    <r>
      <rPr>
        <sz val="11"/>
        <color theme="1"/>
        <rFont val="Noto Sans CJK SC"/>
        <charset val="134"/>
      </rPr>
      <t>图片生成；微信分享图片；短信图片链接</t>
    </r>
  </si>
  <si>
    <t>客户保单到期统一日历视图</t>
  </si>
  <si>
    <r>
      <rPr>
        <sz val="11"/>
        <color theme="1"/>
        <rFont val="Noto Sans CJK SC"/>
        <charset val="134"/>
      </rPr>
      <t>业务员「客户」页新增「日历」视图切换：月历格式展示每天到期的客户数量角标；点击某天展开当天到期客户列表（车牌</t>
    </r>
    <r>
      <rPr>
        <sz val="11"/>
        <color theme="1"/>
        <rFont val="宋体"/>
        <charset val="134"/>
      </rPr>
      <t>/</t>
    </r>
    <r>
      <rPr>
        <sz val="11"/>
        <color theme="1"/>
        <rFont val="Noto Sans CJK SC"/>
        <charset val="134"/>
      </rPr>
      <t>客户名</t>
    </r>
    <r>
      <rPr>
        <sz val="11"/>
        <color theme="1"/>
        <rFont val="宋体"/>
        <charset val="134"/>
      </rPr>
      <t>/</t>
    </r>
    <r>
      <rPr>
        <sz val="11"/>
        <color theme="1"/>
        <rFont val="Noto Sans CJK SC"/>
        <charset val="134"/>
      </rPr>
      <t>险种）；快速发起续保动作；数据按业务员权限过滤。</t>
    </r>
  </si>
  <si>
    <r>
      <rPr>
        <sz val="11"/>
        <color theme="1"/>
        <rFont val="Noto Sans CJK SC"/>
        <charset val="134"/>
      </rPr>
      <t>日历组件（</t>
    </r>
    <r>
      <rPr>
        <sz val="11"/>
        <color theme="1"/>
        <rFont val="宋体"/>
        <charset val="134"/>
      </rPr>
      <t>Gantt/Calendar</t>
    </r>
    <r>
      <rPr>
        <sz val="11"/>
        <color theme="1"/>
        <rFont val="Noto Sans CJK SC"/>
        <charset val="134"/>
      </rPr>
      <t>）；到期日聚合统计</t>
    </r>
  </si>
  <si>
    <t>验车提醒（年检）</t>
  </si>
  <si>
    <r>
      <rPr>
        <sz val="11"/>
        <color theme="1"/>
        <rFont val="Noto Sans CJK SC"/>
        <charset val="134"/>
      </rPr>
      <t>维护车辆年检到期日（从车辆档案中推算：初登日期</t>
    </r>
    <r>
      <rPr>
        <sz val="11"/>
        <color theme="1"/>
        <rFont val="宋体"/>
        <charset val="134"/>
      </rPr>
      <t>+</t>
    </r>
    <r>
      <rPr>
        <sz val="11"/>
        <color theme="1"/>
        <rFont val="Noto Sans CJK SC"/>
        <charset val="134"/>
      </rPr>
      <t>年检周期）；距年检到期≤</t>
    </r>
    <r>
      <rPr>
        <sz val="11"/>
        <color theme="1"/>
        <rFont val="宋体"/>
        <charset val="134"/>
      </rPr>
      <t>30</t>
    </r>
    <r>
      <rPr>
        <sz val="11"/>
        <color theme="1"/>
        <rFont val="Noto Sans CJK SC"/>
        <charset val="134"/>
      </rPr>
      <t>天推送</t>
    </r>
    <r>
      <rPr>
        <sz val="11"/>
        <color theme="1"/>
        <rFont val="宋体"/>
        <charset val="134"/>
      </rPr>
      <t>App</t>
    </r>
    <r>
      <rPr>
        <sz val="11"/>
        <color theme="1"/>
        <rFont val="Noto Sans CJK SC"/>
        <charset val="134"/>
      </rPr>
      <t>消息及短信；业务员可手动设置客户年检日期；年检提醒卡片可一键导航至最近检验机构（高德地图</t>
    </r>
    <r>
      <rPr>
        <sz val="11"/>
        <color theme="1"/>
        <rFont val="宋体"/>
        <charset val="134"/>
      </rPr>
      <t>API</t>
    </r>
    <r>
      <rPr>
        <sz val="11"/>
        <color theme="1"/>
        <rFont val="Noto Sans CJK SC"/>
        <charset val="134"/>
      </rPr>
      <t>）。</t>
    </r>
  </si>
  <si>
    <r>
      <rPr>
        <sz val="11"/>
        <color theme="1"/>
        <rFont val="Noto Sans CJK SC"/>
        <charset val="134"/>
      </rPr>
      <t>年检日期推算规则；高德地图</t>
    </r>
    <r>
      <rPr>
        <sz val="11"/>
        <color theme="1"/>
        <rFont val="宋体"/>
        <charset val="134"/>
      </rPr>
      <t>POI</t>
    </r>
    <r>
      <rPr>
        <sz val="11"/>
        <color theme="1"/>
        <rFont val="Noto Sans CJK SC"/>
        <charset val="134"/>
      </rPr>
      <t>搜索；定时推送</t>
    </r>
  </si>
  <si>
    <r>
      <rPr>
        <sz val="10"/>
        <color rgb="FF000000"/>
        <rFont val="Noto Sans CJK SC"/>
        <charset val="134"/>
      </rPr>
      <t xml:space="preserve">（前端工时 </t>
    </r>
    <r>
      <rPr>
        <sz val="10"/>
        <color rgb="FF000000"/>
        <rFont val="宋体"/>
        <charset val="134"/>
      </rPr>
      <t xml:space="preserve">+ </t>
    </r>
    <r>
      <rPr>
        <sz val="10"/>
        <color rgb="FF000000"/>
        <rFont val="Noto Sans CJK SC"/>
        <charset val="134"/>
      </rPr>
      <t>后端工时）</t>
    </r>
  </si>
  <si>
    <t>主要业务逻辑（开发实现要点）</t>
  </si>
  <si>
    <t>前端
工时(天)</t>
  </si>
  <si>
    <t>后端
工时(天)</t>
  </si>
  <si>
    <t>组织架构管理</t>
  </si>
  <si>
    <t>机构管理
（树形列表）</t>
  </si>
  <si>
    <t>左侧树+右侧详情布局；一次查出全部机构内存构建树（SQL: SELECT * FROM biz_organization WHERE tenant_id=? AND status=1 AND deleted=0 ORDER BY sort）；Redis缓存 org:tree:{tenantId} TTL 1h；&gt;1000条改懒加载接口 /tree/lazy?parentId=0</t>
  </si>
  <si>
    <t>无限级树递归构建（内存方式）；Redis缓存策略</t>
  </si>
  <si>
    <t>框架自带扩展</t>
  </si>
  <si>
    <t>机构新增</t>
  </si>
  <si>
    <t>弹窗16个字段，含机构代码（唯一+字母数字下划线+创建后不可改）、org_type（1总/2分/3营业部）、许可证起止日期、机构层级≤5级校验；后端9步骤：代码唯一→父机构状态→许可证日期→层级限制→ancestors自动构建→leader_name冗余→公共字段填充→INSERT→清Redis缓存</t>
  </si>
  <si>
    <t>层级限制逻辑；ancestors路径计算</t>
  </si>
  <si>
    <t>机构编辑与停用</t>
  </si>
  <si>
    <r>
      <rPr>
        <sz val="10"/>
        <rFont val="Arial"/>
        <charset val="1"/>
      </rPr>
      <t>org_code</t>
    </r>
    <r>
      <rPr>
        <sz val="10"/>
        <rFont val="Noto Sans CJK SC"/>
        <charset val="134"/>
      </rPr>
      <t>置灰不可改；父级变更时批量更新所有子孙</t>
    </r>
    <r>
      <rPr>
        <sz val="10"/>
        <rFont val="Arial"/>
        <charset val="1"/>
      </rPr>
      <t>ancestors</t>
    </r>
    <r>
      <rPr>
        <sz val="10"/>
        <rFont val="Noto Sans CJK SC"/>
        <charset val="134"/>
      </rPr>
      <t>（同事务）；停用联动：子机构全停用</t>
    </r>
    <r>
      <rPr>
        <sz val="10"/>
        <rFont val="Arial"/>
        <charset val="1"/>
      </rPr>
      <t>+</t>
    </r>
    <r>
      <rPr>
        <sz val="10"/>
        <rFont val="Noto Sans CJK SC"/>
        <charset val="134"/>
      </rPr>
      <t>业务员</t>
    </r>
    <r>
      <rPr>
        <sz val="10"/>
        <rFont val="Arial"/>
        <charset val="1"/>
      </rPr>
      <t>status→2+</t>
    </r>
    <r>
      <rPr>
        <sz val="10"/>
        <rFont val="Noto Sans CJK SC"/>
        <charset val="134"/>
      </rPr>
      <t>产品授权</t>
    </r>
    <r>
      <rPr>
        <sz val="10"/>
        <rFont val="Arial"/>
        <charset val="1"/>
      </rPr>
      <t>status→0+</t>
    </r>
    <r>
      <rPr>
        <sz val="10"/>
        <rFont val="Noto Sans CJK SC"/>
        <charset val="134"/>
      </rPr>
      <t>发站内信；启用需校验父机构</t>
    </r>
    <r>
      <rPr>
        <sz val="10"/>
        <rFont val="Arial"/>
        <charset val="1"/>
      </rPr>
      <t>status=1</t>
    </r>
    <r>
      <rPr>
        <sz val="10"/>
        <rFont val="Noto Sans CJK SC"/>
        <charset val="134"/>
      </rPr>
      <t>；清</t>
    </r>
    <r>
      <rPr>
        <sz val="10"/>
        <rFont val="Arial"/>
        <charset val="1"/>
      </rPr>
      <t>Redis</t>
    </r>
    <r>
      <rPr>
        <sz val="10"/>
        <rFont val="Noto Sans CJK SC"/>
        <charset val="134"/>
      </rPr>
      <t>缓存</t>
    </r>
  </si>
  <si>
    <t>树形批量更新ancestors；停用级联；@Transactional</t>
  </si>
  <si>
    <t>机构删除</t>
  </si>
  <si>
    <t>删除前5项校验：①子机构②业务员③历史订单④产品授权⑤佣金记录，任一存在则拒绝并提示数量；全部通过后逻辑删除(deleted=1)；清Redis缓存</t>
  </si>
  <si>
    <t>多表前置校验；逻辑删除</t>
  </si>
  <si>
    <t>部门管理
（CRUD）</t>
  </si>
  <si>
    <t>页面含机构选择器（必选），部门树按org_id隔离；新增：dept_code唯一、父部门必须同org_id、层级≤4、ancestors自动构建、leader来自本机构启用人员；删除4项前置校验（子部门/岗位/业务员/内勤）；停用级联处理；Redis缓存 dept:tree:{orgId}</t>
  </si>
  <si>
    <t>部门树按机构隔离；停用级联逻辑</t>
  </si>
  <si>
    <t>岗位管理
（CRUD）</t>
  </si>
  <si>
    <t>标准分页列表；岗位为全局概念（无dept_id），post_category：1管理岗/2销售岗/3职能岗/4技术岗/5其他；停用时向关联人员发站内信；删除前校验biz_agent.post_id和biz_staff.post_id；代码唯一不可改</t>
  </si>
  <si>
    <t>岗位全局概念理解；删除前置校验</t>
  </si>
  <si>
    <t>角色权限</t>
  </si>
  <si>
    <t>完全复用yudao-cloud框架（system_role/system_menu/system_role_menu/system_user_role）；初始化脚本预置7个角色：super_admin/platform_admin/org_admin/dept_manager/agent/staff/finance；数据权限扩展system_user.data_scope（1全部/2本机构及下级/3本部门/4仅本人）</t>
  </si>
  <si>
    <r>
      <rPr>
        <sz val="10"/>
        <rFont val="Arial"/>
        <charset val="1"/>
      </rPr>
      <t>RBAC</t>
    </r>
    <r>
      <rPr>
        <sz val="10"/>
        <rFont val="Noto Sans CJK SC"/>
        <charset val="134"/>
      </rPr>
      <t>扩展；数据权限</t>
    </r>
    <r>
      <rPr>
        <sz val="10"/>
        <rFont val="Arial"/>
        <charset val="1"/>
      </rPr>
      <t>data_scope</t>
    </r>
    <r>
      <rPr>
        <sz val="10"/>
        <rFont val="Noto Sans CJK SC"/>
        <charset val="134"/>
      </rPr>
      <t>注入；</t>
    </r>
    <r>
      <rPr>
        <sz val="10"/>
        <rFont val="Arial"/>
        <charset val="1"/>
      </rPr>
      <t>@DataPermission</t>
    </r>
    <r>
      <rPr>
        <sz val="10"/>
        <rFont val="Noto Sans CJK SC"/>
        <charset val="134"/>
      </rPr>
      <t>标注</t>
    </r>
  </si>
  <si>
    <t>人员管理</t>
  </si>
  <si>
    <t>业务员列表
（分页搜索）</t>
  </si>
  <si>
    <t>搜索：姓名模糊/工号精确/手机精确/机构下拉/部门下拉/状态/入职日期范围；列表列：工号、姓名、手机（脱敏）、机构、部门、状态、入职日期、证书到期日、操作；分页+排序</t>
  </si>
  <si>
    <r>
      <rPr>
        <sz val="10"/>
        <rFont val="Arial"/>
        <charset val="1"/>
      </rPr>
      <t>MyBatis-Plus</t>
    </r>
    <r>
      <rPr>
        <sz val="10"/>
        <rFont val="Noto Sans CJK SC"/>
        <charset val="134"/>
      </rPr>
      <t>分页；数据权限过滤（</t>
    </r>
    <r>
      <rPr>
        <sz val="10"/>
        <rFont val="Arial"/>
        <charset val="1"/>
      </rPr>
      <t>@DataPermission</t>
    </r>
    <r>
      <rPr>
        <sz val="10"/>
        <rFont val="Noto Sans CJK SC"/>
        <charset val="134"/>
      </rPr>
      <t>）</t>
    </r>
  </si>
  <si>
    <t>业务员新增</t>
  </si>
  <si>
    <r>
      <rPr>
        <sz val="10"/>
        <rFont val="Arial"/>
        <charset val="1"/>
      </rPr>
      <t>3</t>
    </r>
    <r>
      <rPr>
        <sz val="10"/>
        <rFont val="Noto Sans CJK SC"/>
        <charset val="134"/>
      </rPr>
      <t>个</t>
    </r>
    <r>
      <rPr>
        <sz val="10"/>
        <rFont val="Arial"/>
        <charset val="1"/>
      </rPr>
      <t>Tab</t>
    </r>
    <r>
      <rPr>
        <sz val="10"/>
        <rFont val="Noto Sans CJK SC"/>
        <charset val="134"/>
      </rPr>
      <t>弹窗：①基本信息（</t>
    </r>
    <r>
      <rPr>
        <sz val="10"/>
        <rFont val="Arial"/>
        <charset val="1"/>
      </rPr>
      <t>13</t>
    </r>
    <r>
      <rPr>
        <sz val="10"/>
        <rFont val="Noto Sans CJK SC"/>
        <charset val="134"/>
      </rPr>
      <t>字段，</t>
    </r>
    <r>
      <rPr>
        <sz val="10"/>
        <rFont val="Arial"/>
        <charset val="1"/>
      </rPr>
      <t>id_card AES</t>
    </r>
    <r>
      <rPr>
        <sz val="10"/>
        <rFont val="Noto Sans CJK SC"/>
        <charset val="134"/>
      </rPr>
      <t>加密存储</t>
    </r>
    <r>
      <rPr>
        <sz val="10"/>
        <rFont val="Arial"/>
        <charset val="1"/>
      </rPr>
      <t>+MD5</t>
    </r>
    <r>
      <rPr>
        <sz val="10"/>
        <rFont val="Noto Sans CJK SC"/>
        <charset val="134"/>
      </rPr>
      <t>存查重字段，</t>
    </r>
    <r>
      <rPr>
        <sz val="10"/>
        <rFont val="Arial"/>
        <charset val="1"/>
      </rPr>
      <t>mobile</t>
    </r>
    <r>
      <rPr>
        <sz val="10"/>
        <rFont val="Noto Sans CJK SC"/>
        <charset val="134"/>
      </rPr>
      <t>跨</t>
    </r>
    <r>
      <rPr>
        <sz val="10"/>
        <rFont val="Arial"/>
        <charset val="1"/>
      </rPr>
      <t>biz_agent/biz_staff/system_users</t>
    </r>
    <r>
      <rPr>
        <sz val="10"/>
        <rFont val="Noto Sans CJK SC"/>
        <charset val="134"/>
      </rPr>
      <t>三表唯一校验）②执业资质（</t>
    </r>
    <r>
      <rPr>
        <sz val="10"/>
        <rFont val="Arial"/>
        <charset val="1"/>
      </rPr>
      <t>cert_no</t>
    </r>
    <r>
      <rPr>
        <sz val="10"/>
        <rFont val="Noto Sans CJK SC"/>
        <charset val="134"/>
      </rPr>
      <t>全局唯一）③银行信息（</t>
    </r>
    <r>
      <rPr>
        <sz val="10"/>
        <rFont val="Arial"/>
        <charset val="1"/>
      </rPr>
      <t>bank_account AES</t>
    </r>
    <r>
      <rPr>
        <sz val="10"/>
        <rFont val="Noto Sans CJK SC"/>
        <charset val="134"/>
      </rPr>
      <t>加密，</t>
    </r>
    <r>
      <rPr>
        <sz val="10"/>
        <rFont val="Arial"/>
        <charset val="1"/>
      </rPr>
      <t>Luhn</t>
    </r>
    <r>
      <rPr>
        <sz val="10"/>
        <rFont val="Noto Sans CJK SC"/>
        <charset val="134"/>
      </rPr>
      <t>算法校验）；</t>
    </r>
    <r>
      <rPr>
        <sz val="10"/>
        <rFont val="Arial"/>
        <charset val="1"/>
      </rPr>
      <t>9</t>
    </r>
    <r>
      <rPr>
        <sz val="10"/>
        <rFont val="Noto Sans CJK SC"/>
        <charset val="134"/>
      </rPr>
      <t>步事务：唯一性→机构部门校验→证书编号唯一→</t>
    </r>
    <r>
      <rPr>
        <sz val="10"/>
        <rFont val="Arial"/>
        <charset val="1"/>
      </rPr>
      <t>Redis</t>
    </r>
    <r>
      <rPr>
        <sz val="10"/>
        <rFont val="Noto Sans CJK SC"/>
        <charset val="134"/>
      </rPr>
      <t>锁生成工号</t>
    </r>
    <r>
      <rPr>
        <sz val="10"/>
        <rFont val="Arial"/>
        <charset val="1"/>
      </rPr>
      <t>A000001→</t>
    </r>
    <r>
      <rPr>
        <sz val="10"/>
        <rFont val="Noto Sans CJK SC"/>
        <charset val="134"/>
      </rPr>
      <t>创建</t>
    </r>
    <r>
      <rPr>
        <sz val="10"/>
        <rFont val="Arial"/>
        <charset val="1"/>
      </rPr>
      <t>system_users(status=0,role=agent)→INSERT biz_agent→INSERT biz_agent_cert→INSERT biz_agent_post→</t>
    </r>
    <r>
      <rPr>
        <sz val="10"/>
        <rFont val="Noto Sans CJK SC"/>
        <charset val="134"/>
      </rPr>
      <t>发激活短信</t>
    </r>
  </si>
  <si>
    <t>分布式锁生成工号；AES加密；多表唯一性校验；@Transactional</t>
  </si>
  <si>
    <t>业务员编辑
与状态管理</t>
  </si>
  <si>
    <r>
      <rPr>
        <sz val="10"/>
        <rFont val="Arial"/>
        <charset val="1"/>
      </rPr>
      <t>agent_code+id_card</t>
    </r>
    <r>
      <rPr>
        <sz val="10"/>
        <rFont val="Noto Sans CJK SC"/>
        <charset val="134"/>
      </rPr>
      <t>置灰；手机变更同步</t>
    </r>
    <r>
      <rPr>
        <sz val="10"/>
        <rFont val="Arial"/>
        <charset val="1"/>
      </rPr>
      <t>system_users.username</t>
    </r>
    <r>
      <rPr>
        <sz val="10"/>
        <rFont val="Noto Sans CJK SC"/>
        <charset val="134"/>
      </rPr>
      <t>；机构</t>
    </r>
    <r>
      <rPr>
        <sz val="10"/>
        <rFont val="Arial"/>
        <charset val="1"/>
      </rPr>
      <t>/</t>
    </r>
    <r>
      <rPr>
        <sz val="10"/>
        <rFont val="Noto Sans CJK SC"/>
        <charset val="134"/>
      </rPr>
      <t>部门变更→</t>
    </r>
    <r>
      <rPr>
        <sz val="10"/>
        <rFont val="Arial"/>
        <charset val="1"/>
      </rPr>
      <t>INSERT biz_agent_transfer</t>
    </r>
    <r>
      <rPr>
        <sz val="10"/>
        <rFont val="Noto Sans CJK SC"/>
        <charset val="134"/>
      </rPr>
      <t>调动记录（历史数据</t>
    </r>
    <r>
      <rPr>
        <sz val="10"/>
        <rFont val="Arial"/>
        <charset val="1"/>
      </rPr>
      <t>org_id</t>
    </r>
    <r>
      <rPr>
        <sz val="10"/>
        <rFont val="Noto Sans CJK SC"/>
        <charset val="134"/>
      </rPr>
      <t>不变）；银行卡变更</t>
    </r>
    <r>
      <rPr>
        <sz val="10"/>
        <rFont val="Arial"/>
        <charset val="1"/>
      </rPr>
      <t>AES</t>
    </r>
    <r>
      <rPr>
        <sz val="10"/>
        <rFont val="Noto Sans CJK SC"/>
        <charset val="134"/>
      </rPr>
      <t>重加密</t>
    </r>
    <r>
      <rPr>
        <sz val="10"/>
        <rFont val="Arial"/>
        <charset val="1"/>
      </rPr>
      <t>+</t>
    </r>
    <r>
      <rPr>
        <sz val="10"/>
        <rFont val="Noto Sans CJK SC"/>
        <charset val="134"/>
      </rPr>
      <t>记变更日志；停用</t>
    </r>
    <r>
      <rPr>
        <sz val="10"/>
        <rFont val="Arial"/>
        <charset val="1"/>
      </rPr>
      <t>(1→2)</t>
    </r>
    <r>
      <rPr>
        <sz val="10"/>
        <rFont val="Noto Sans CJK SC"/>
        <charset val="134"/>
      </rPr>
      <t>：</t>
    </r>
    <r>
      <rPr>
        <sz val="10"/>
        <rFont val="Arial"/>
        <charset val="1"/>
      </rPr>
      <t>system_users.status=1+</t>
    </r>
    <r>
      <rPr>
        <sz val="10"/>
        <rFont val="Noto Sans CJK SC"/>
        <charset val="134"/>
      </rPr>
      <t>发通知；启用</t>
    </r>
    <r>
      <rPr>
        <sz val="10"/>
        <rFont val="Arial"/>
        <charset val="1"/>
      </rPr>
      <t>(2→1)</t>
    </r>
    <r>
      <rPr>
        <sz val="10"/>
        <rFont val="Noto Sans CJK SC"/>
        <charset val="134"/>
      </rPr>
      <t>：校验机构部门均启用；批量停用</t>
    </r>
    <r>
      <rPr>
        <sz val="10"/>
        <rFont val="Arial"/>
        <charset val="1"/>
      </rPr>
      <t>/</t>
    </r>
    <r>
      <rPr>
        <sz val="10"/>
        <rFont val="Noto Sans CJK SC"/>
        <charset val="134"/>
      </rPr>
      <t>启用接口</t>
    </r>
  </si>
  <si>
    <t>调动记录逻辑；敏感字段AES加解密；批量状态变更</t>
  </si>
  <si>
    <t>业务员离职
办理</t>
  </si>
  <si>
    <t>弹窗：离职日期(必填)/离职类型(主动/被动)/客户接手人(必填，本机构业务员)；后端事务：①警告进行中订单数量②提示未结算佣金金额③UPDATE biz_customer SET agent_id=接手人④status→3+leave_date⑤system_users.status=1⑥INSERT biz_agent_leave_record⑦发通知给接手人</t>
  </si>
  <si>
    <t>离职事务完整性；客户批量移交</t>
  </si>
  <si>
    <t>黑名单管理</t>
  </si>
  <si>
    <t>加黑：必填原因+证据附件→status=4+system_users永久禁用+冻结待结算佣金(status=4)+INSERT biz_blacklist_record；黑名单列表独立查询；申诉解除：status→1+解冻佣金；黑名单记录biz_blacklist_record存储原因/证据/操作人</t>
  </si>
  <si>
    <t>佣金冻结联动；黑名单状态机</t>
  </si>
  <si>
    <t>业务员导入</t>
  </si>
  <si>
    <t>模板列：姓名/性别/身份证/手机/入职日期/机构代码/部门代码/岗位代码/邮箱/证书类型/证书编号/证书到期日；EasyExcel解析→与新增相同的校验→每批500条批量INSERT→失败行记录行号+原因→写biz_import_log→站内信通知（成功N/失败M）+失败Excel下载链接；异步执行（ThreadPool）</t>
  </si>
  <si>
    <r>
      <rPr>
        <sz val="10"/>
        <rFont val="Arial"/>
        <charset val="1"/>
      </rPr>
      <t>EasyExcel</t>
    </r>
    <r>
      <rPr>
        <sz val="10"/>
        <rFont val="Noto Sans CJK SC"/>
        <charset val="134"/>
      </rPr>
      <t>异步解析；批量</t>
    </r>
    <r>
      <rPr>
        <sz val="10"/>
        <rFont val="Arial"/>
        <charset val="1"/>
      </rPr>
      <t>INSERT</t>
    </r>
    <r>
      <rPr>
        <sz val="10"/>
        <rFont val="Noto Sans CJK SC"/>
        <charset val="134"/>
      </rPr>
      <t>；导入结果通知</t>
    </r>
  </si>
  <si>
    <t>业务员导出
+密码重置</t>
  </si>
  <si>
    <t>导出：携带搜索条件→EasyExcel生成xlsx→最多10000条→身份证/银行卡脱敏→文件名含时间戳；重置密码：读agent.default.password参数→BCrypt加密→UPDATE system_users+need_change_password=1→发短信通知</t>
  </si>
  <si>
    <r>
      <rPr>
        <sz val="10"/>
        <rFont val="Arial"/>
        <charset val="1"/>
      </rPr>
      <t>EasyExcel</t>
    </r>
    <r>
      <rPr>
        <sz val="10"/>
        <rFont val="Noto Sans CJK SC"/>
        <charset val="134"/>
      </rPr>
      <t>导出；脱敏处理；密码重置通知</t>
    </r>
  </si>
  <si>
    <t>资质证书管理
（CRUD+审核）</t>
  </si>
  <si>
    <t>证书列表（可按业务员过滤+按到期状态筛选）；证书字段：cert_type/cert_no(唯一)/cert_level/发证日期/到期日/图片/verify_status(0待审/1通过/2拒绝)；审核接口(PUT /cert/audit)：填写审核备注→UPDATE verify_status/verify_time/verifier_id；每天02:30定时任务AgentCertExpireTask扫描DATEDIFF IN(90,60,30,7)→发短信+站内信预警</t>
  </si>
  <si>
    <t>证书审核工作流；定时预警任务（XXL-Job）</t>
  </si>
  <si>
    <t>内勤人员管理
（CRUD）</t>
  </si>
  <si>
    <t>与业务员类似，差异：①工号前缀S②无执业资质Tab③岗位类别限管理岗/职能岗/技术岗④角色自动分配(post_category=1→org_admin/dept_manager; 3→finance/staff; 4→tech角色，仅初始建议，管理员可调)；删除前置校验：biz_audit_log/biz_finance_bill中operator_id存在则拒绝删除</t>
  </si>
  <si>
    <t>内勤角色自动匹配逻辑；删除历史操作记录校验</t>
  </si>
  <si>
    <t>产品管理</t>
  </si>
  <si>
    <t>3月份已派</t>
  </si>
  <si>
    <t>保险公司管理
（CRUD+测试连接）</t>
  </si>
  <si>
    <t>字段：company_code(唯一+不可改)/company_name/company_type(1财/2寿/3健/4养老)/connect_type(1-API/2-文件/3-人工)/api_url(https)/api_key(AES加密)/api_timeout/api_retry；测试连接：GET {api_url}/health 超时5秒→返回status/responseTime→缓存Redis ins_company:connect:{id} TTL 10min；停用联动：级联下架旗下所有产品+批量通知授权机构</t>
  </si>
  <si>
    <r>
      <rPr>
        <sz val="10"/>
        <rFont val="Arial"/>
        <charset val="1"/>
      </rPr>
      <t>API</t>
    </r>
    <r>
      <rPr>
        <sz val="10"/>
        <rFont val="Noto Sans CJK SC"/>
        <charset val="134"/>
      </rPr>
      <t>密钥</t>
    </r>
    <r>
      <rPr>
        <sz val="10"/>
        <rFont val="Arial"/>
        <charset val="1"/>
      </rPr>
      <t>AES</t>
    </r>
    <r>
      <rPr>
        <sz val="10"/>
        <rFont val="Noto Sans CJK SC"/>
        <charset val="134"/>
      </rPr>
      <t>加密；</t>
    </r>
    <r>
      <rPr>
        <sz val="10"/>
        <rFont val="Arial"/>
        <charset val="1"/>
      </rPr>
      <t>HTTP</t>
    </r>
    <r>
      <rPr>
        <sz val="10"/>
        <rFont val="Noto Sans CJK SC"/>
        <charset val="134"/>
      </rPr>
      <t>连通性探测；停用级联下架</t>
    </r>
  </si>
  <si>
    <t>产品分类
（树形CRUD）</t>
  </si>
  <si>
    <t>树形列表（拖拽排序）；字段：category_code(唯一不可改)/category_name(同级唯一)/icon/sort；删除：先查子分类存在→再查关联产品存在→拒绝；ancestors自动构建；缓存 product_category:tree TTL 1h</t>
  </si>
  <si>
    <t>同级名称唯一校验；删除关联检查</t>
  </si>
  <si>
    <t>产品新增
（3Tab配置）</t>
  </si>
  <si>
    <r>
      <rPr>
        <sz val="10"/>
        <rFont val="Arial"/>
        <charset val="1"/>
      </rPr>
      <t>3Tab</t>
    </r>
    <r>
      <rPr>
        <sz val="10"/>
        <rFont val="Noto Sans CJK SC"/>
        <charset val="134"/>
      </rPr>
      <t>弹窗：①基本信息（</t>
    </r>
    <r>
      <rPr>
        <sz val="10"/>
        <rFont val="Arial"/>
        <charset val="1"/>
      </rPr>
      <t>product_code</t>
    </r>
    <r>
      <rPr>
        <sz val="10"/>
        <rFont val="Noto Sans CJK SC"/>
        <charset val="134"/>
      </rPr>
      <t>唯一不可改</t>
    </r>
    <r>
      <rPr>
        <sz val="10"/>
        <rFont val="Arial"/>
        <charset val="1"/>
      </rPr>
      <t>/company_id/product_type(1</t>
    </r>
    <r>
      <rPr>
        <sz val="10"/>
        <rFont val="Noto Sans CJK SC"/>
        <charset val="134"/>
      </rPr>
      <t>车险</t>
    </r>
    <r>
      <rPr>
        <sz val="10"/>
        <rFont val="Arial"/>
        <charset val="1"/>
      </rPr>
      <t>/2</t>
    </r>
    <r>
      <rPr>
        <sz val="10"/>
        <rFont val="Noto Sans CJK SC"/>
        <charset val="134"/>
      </rPr>
      <t>非车险，不可改</t>
    </r>
    <r>
      <rPr>
        <sz val="10"/>
        <rFont val="Arial"/>
        <charset val="1"/>
      </rPr>
      <t>)/category_id/insurance_type/product_image/coverage_period/min/max_premium(</t>
    </r>
    <r>
      <rPr>
        <sz val="10"/>
        <rFont val="Noto Sans CJK SC"/>
        <charset val="134"/>
      </rPr>
      <t>分为单位</t>
    </r>
    <r>
      <rPr>
        <sz val="10"/>
        <rFont val="Arial"/>
        <charset val="1"/>
      </rPr>
      <t>)/min/max_coverage/stock(</t>
    </r>
    <r>
      <rPr>
        <sz val="10"/>
        <rFont val="Noto Sans CJK SC"/>
        <charset val="134"/>
      </rPr>
      <t>默认</t>
    </r>
    <r>
      <rPr>
        <sz val="10"/>
        <rFont val="Arial"/>
        <charset val="1"/>
      </rPr>
      <t>-1</t>
    </r>
    <r>
      <rPr>
        <sz val="10"/>
        <rFont val="Noto Sans CJK SC"/>
        <charset val="134"/>
      </rPr>
      <t>无限</t>
    </r>
    <r>
      <rPr>
        <sz val="10"/>
        <rFont val="Arial"/>
        <charset val="1"/>
      </rPr>
      <t>)/status</t>
    </r>
    <r>
      <rPr>
        <sz val="10"/>
        <rFont val="Noto Sans CJK SC"/>
        <charset val="134"/>
      </rPr>
      <t>默认</t>
    </r>
    <r>
      <rPr>
        <sz val="10"/>
        <rFont val="Arial"/>
        <charset val="1"/>
      </rPr>
      <t>0</t>
    </r>
    <r>
      <rPr>
        <sz val="10"/>
        <rFont val="Noto Sans CJK SC"/>
        <charset val="134"/>
      </rPr>
      <t>下架</t>
    </r>
    <r>
      <rPr>
        <sz val="10"/>
        <rFont val="Arial"/>
        <charset val="1"/>
      </rPr>
      <t>/sort</t>
    </r>
    <r>
      <rPr>
        <sz val="10"/>
        <rFont val="Noto Sans CJK SC"/>
        <charset val="134"/>
      </rPr>
      <t>）②费率配置（仅车险，上传</t>
    </r>
    <r>
      <rPr>
        <sz val="10"/>
        <rFont val="Arial"/>
        <charset val="1"/>
      </rPr>
      <t>Excel→EasyExcel</t>
    </r>
    <r>
      <rPr>
        <sz val="10"/>
        <rFont val="Noto Sans CJK SC"/>
        <charset val="134"/>
      </rPr>
      <t>解析→</t>
    </r>
    <r>
      <rPr>
        <sz val="10"/>
        <rFont val="Arial"/>
        <charset val="1"/>
      </rPr>
      <t>DELETE</t>
    </r>
    <r>
      <rPr>
        <sz val="10"/>
        <rFont val="Noto Sans CJK SC"/>
        <charset val="134"/>
      </rPr>
      <t>旧费率→批量</t>
    </r>
    <r>
      <rPr>
        <sz val="10"/>
        <rFont val="Arial"/>
        <charset val="1"/>
      </rPr>
      <t>INSERT biz_product_rate</t>
    </r>
    <r>
      <rPr>
        <sz val="10"/>
        <rFont val="Noto Sans CJK SC"/>
        <charset val="134"/>
      </rPr>
      <t>，</t>
    </r>
    <r>
      <rPr>
        <sz val="10"/>
        <rFont val="Arial"/>
        <charset val="1"/>
      </rPr>
      <t>rate_key=</t>
    </r>
    <r>
      <rPr>
        <sz val="10"/>
        <rFont val="Noto Sans CJK SC"/>
        <charset val="134"/>
      </rPr>
      <t>省份</t>
    </r>
    <r>
      <rPr>
        <sz val="10"/>
        <rFont val="Arial"/>
        <charset val="1"/>
      </rPr>
      <t>_</t>
    </r>
    <r>
      <rPr>
        <sz val="10"/>
        <rFont val="Noto Sans CJK SC"/>
        <charset val="134"/>
      </rPr>
      <t>车龄</t>
    </r>
    <r>
      <rPr>
        <sz val="10"/>
        <rFont val="Arial"/>
        <charset val="1"/>
      </rPr>
      <t>_NCD</t>
    </r>
    <r>
      <rPr>
        <sz val="10"/>
        <rFont val="Noto Sans CJK SC"/>
        <charset val="134"/>
      </rPr>
      <t>档位组合）③佣金配置（</t>
    </r>
    <r>
      <rPr>
        <sz val="10"/>
        <rFont val="Arial"/>
        <charset val="1"/>
      </rPr>
      <t>default commission_rate+</t>
    </r>
    <r>
      <rPr>
        <sz val="10"/>
        <rFont val="Noto Sans CJK SC"/>
        <charset val="134"/>
      </rPr>
      <t>分级佣金表</t>
    </r>
    <r>
      <rPr>
        <sz val="10"/>
        <rFont val="Arial"/>
        <charset val="1"/>
      </rPr>
      <t>biz_product_commission_level</t>
    </r>
    <r>
      <rPr>
        <sz val="10"/>
        <rFont val="Noto Sans CJK SC"/>
        <charset val="134"/>
      </rPr>
      <t>按</t>
    </r>
    <r>
      <rPr>
        <sz val="10"/>
        <rFont val="Arial"/>
        <charset val="1"/>
      </rPr>
      <t>agent_level 1~4</t>
    </r>
    <r>
      <rPr>
        <sz val="10"/>
        <rFont val="Noto Sans CJK SC"/>
        <charset val="134"/>
      </rPr>
      <t>配置不同比例）；事务保证</t>
    </r>
  </si>
  <si>
    <r>
      <rPr>
        <sz val="10"/>
        <rFont val="Arial"/>
        <charset val="1"/>
      </rPr>
      <t>EasyExcel</t>
    </r>
    <r>
      <rPr>
        <sz val="10"/>
        <rFont val="Noto Sans CJK SC"/>
        <charset val="134"/>
      </rPr>
      <t>费率解析；事务内批量导入；分级佣金配置</t>
    </r>
  </si>
  <si>
    <t>产品编辑
与上下架</t>
  </si>
  <si>
    <t>编辑：product_code/company_id/product_type不可改；stock→0自动触发下架(status=0)+记原因"库存归零"；佣金比例变更INSERT biz_product_commission_change_log（只影响后续订单）；上架(PUT /on-shelf)6项前置校验：状态/保险公司/产品名/图片/库存≠0→UPDATE status=1+on_shelf_time+通知授权机构；下架：status=0+off_shelf_time+通知；批量上下架汇总结果</t>
  </si>
  <si>
    <t>上架前置6项校验；佣金变更日志；批量操作结果汇总</t>
  </si>
  <si>
    <t>费率表维护</t>
  </si>
  <si>
    <t>接口POST /rate/upload：EasyExcel解析（第1行表头从第2行读）→构造rate_key（省份代码_车龄_NCD档位）+rate_value→校验rate_value&gt;0→@Transactional内先DELETE旧数据再批量INSERT（每批500条）；支持下载标准模板(GET /rate/download-template)；查询费率列表(GET /rate/list?productId=)</t>
  </si>
  <si>
    <r>
      <rPr>
        <sz val="10"/>
        <rFont val="Arial"/>
        <charset val="1"/>
      </rPr>
      <t>EasyExcel</t>
    </r>
    <r>
      <rPr>
        <sz val="10"/>
        <rFont val="Noto Sans CJK SC"/>
        <charset val="134"/>
      </rPr>
      <t>解析；事务内先删后插；费率</t>
    </r>
    <r>
      <rPr>
        <sz val="10"/>
        <rFont val="Arial"/>
        <charset val="1"/>
      </rPr>
      <t>key</t>
    </r>
    <r>
      <rPr>
        <sz val="10"/>
        <rFont val="Noto Sans CJK SC"/>
        <charset val="134"/>
      </rPr>
      <t>设计</t>
    </r>
  </si>
  <si>
    <t>产品机构授权</t>
  </si>
  <si>
    <t>授权字段：org_id/start_date(&gt;=今天)/expire_date(NULL=永久)/commission_rate(机构专属)/status；新增4项校验：产品上架+机构启用+有效期内无重复授权+日期合法→INSERT→发短信+站内信；编辑：product_id+org_id不可改；续期：newExpireDate&gt;当前+恢复status=1；删除：有订单则拒绝；批量授权多机构遍历orgIds</t>
  </si>
  <si>
    <t>有效期重复授权校验；批量授权逻辑；授权查询check接口</t>
  </si>
  <si>
    <t>产品授权到期
管理（定时任务）</t>
  </si>
  <si>
    <r>
      <rPr>
        <sz val="10"/>
        <rFont val="Arial"/>
        <charset val="1"/>
      </rPr>
      <t>ProductOrgExpireTask(</t>
    </r>
    <r>
      <rPr>
        <sz val="10"/>
        <rFont val="Noto Sans CJK SC"/>
        <charset val="134"/>
      </rPr>
      <t>每天</t>
    </r>
    <r>
      <rPr>
        <sz val="10"/>
        <rFont val="Arial"/>
        <charset val="1"/>
      </rPr>
      <t>01:00)</t>
    </r>
    <r>
      <rPr>
        <sz val="10"/>
        <rFont val="Noto Sans CJK SC"/>
        <charset val="134"/>
      </rPr>
      <t>：查</t>
    </r>
    <r>
      <rPr>
        <sz val="10"/>
        <rFont val="Arial"/>
        <charset val="1"/>
      </rPr>
      <t>expire_date&lt;CURDATE() AND status=1→</t>
    </r>
    <r>
      <rPr>
        <sz val="10"/>
        <rFont val="Noto Sans CJK SC"/>
        <charset val="134"/>
      </rPr>
      <t>批量</t>
    </r>
    <r>
      <rPr>
        <sz val="10"/>
        <rFont val="Arial"/>
        <charset val="1"/>
      </rPr>
      <t>UPDATE status=0→</t>
    </r>
    <r>
      <rPr>
        <sz val="10"/>
        <rFont val="Noto Sans CJK SC"/>
        <charset val="134"/>
      </rPr>
      <t>逐条通知机构；</t>
    </r>
    <r>
      <rPr>
        <sz val="10"/>
        <rFont val="Arial"/>
        <charset val="1"/>
      </rPr>
      <t>ProductOrgExpireAlertTask(</t>
    </r>
    <r>
      <rPr>
        <sz val="10"/>
        <rFont val="Noto Sans CJK SC"/>
        <charset val="134"/>
      </rPr>
      <t>每天</t>
    </r>
    <r>
      <rPr>
        <sz val="10"/>
        <rFont val="Arial"/>
        <charset val="1"/>
      </rPr>
      <t>02:00)</t>
    </r>
    <r>
      <rPr>
        <sz val="10"/>
        <rFont val="Noto Sans CJK SC"/>
        <charset val="134"/>
      </rPr>
      <t>：查</t>
    </r>
    <r>
      <rPr>
        <sz val="10"/>
        <rFont val="Arial"/>
        <charset val="1"/>
      </rPr>
      <t>DATEDIFF(expire_date,CURDATE()) IN(30,15,7,3,1)→</t>
    </r>
    <r>
      <rPr>
        <sz val="10"/>
        <rFont val="Noto Sans CJK SC"/>
        <charset val="134"/>
      </rPr>
      <t>发预警通知；授权查询</t>
    </r>
    <r>
      <rPr>
        <sz val="10"/>
        <rFont val="Arial"/>
        <charset val="1"/>
      </rPr>
      <t>check</t>
    </r>
    <r>
      <rPr>
        <sz val="10"/>
        <rFont val="Noto Sans CJK SC"/>
        <charset val="134"/>
      </rPr>
      <t>接口供报价前调用</t>
    </r>
  </si>
  <si>
    <r>
      <rPr>
        <sz val="10"/>
        <rFont val="Arial"/>
        <charset val="1"/>
      </rPr>
      <t>XXL-Job</t>
    </r>
    <r>
      <rPr>
        <sz val="10"/>
        <rFont val="Noto Sans CJK SC"/>
        <charset val="134"/>
      </rPr>
      <t>定时调度；批量通知</t>
    </r>
  </si>
  <si>
    <t>系统配置</t>
  </si>
  <si>
    <t>数据字典</t>
  </si>
  <si>
    <t>复用框架system_dict_type+system_dict_data；初始化脚本预置8个业务字典：insurance_type/car_insurance_type/cert_type/order_status/policy_status/commission_status/claim_status/agent_level；前端通过字典接口动态加载枚举项</t>
  </si>
  <si>
    <t>字典缓存策略；前端动态获取</t>
  </si>
  <si>
    <t>参数配置</t>
  </si>
  <si>
    <t>复用框架system_config；初始化脚本预置13个业务参数：agent.code.prefix/agent.default.password/staff.code.prefix/order.timeout.minutes/commission.settle.day/sms.daily.limit/file.upload.max.size/agent.cert.expire.alert.days/org.permit.expire.alert.days/customer.protection.days/agent.code.inactive.days/password.expire.days等；Redis缓存 system:config:* 框架自动刷新</t>
  </si>
  <si>
    <r>
      <rPr>
        <sz val="10"/>
        <rFont val="Arial"/>
        <charset val="1"/>
      </rPr>
      <t>Redis</t>
    </r>
    <r>
      <rPr>
        <sz val="10"/>
        <rFont val="Noto Sans CJK SC"/>
        <charset val="134"/>
      </rPr>
      <t>缓存参数；动态刷新</t>
    </r>
  </si>
  <si>
    <t>地区管理</t>
  </si>
  <si>
    <t>完全复用框架system_area；国家统计局行政区划数据；初始化脚本导入省市区三级数据；前端调用 GET /system/area/tree 实现省市区三级联动</t>
  </si>
  <si>
    <t>三级联动；行政区划数据初始化</t>
  </si>
  <si>
    <t>银行管理</t>
  </si>
  <si>
    <t>简单CRUD：bank_code(唯一)/bank_name/bank_logo/status/sort；列表缓存Redis bank:simple_list TTL 24h；增删改清缓存；业务员录入银行卡时下拉调用/biz/bank/simple-list接口</t>
  </si>
  <si>
    <t>列表缓存；简单CRUD</t>
  </si>
  <si>
    <t>日志监控</t>
  </si>
  <si>
    <t>操作日志</t>
  </si>
  <si>
    <t>复用框架OperateLogAspect；所有增删改接口添加@OperateLog(module="模块名", name="操作名")注解；自动记录操作人/时间/IP/请求参数/响应结果；日志列表支持按模块/操作人/时间范围查询</t>
  </si>
  <si>
    <r>
      <rPr>
        <sz val="10"/>
        <rFont val="Arial"/>
        <charset val="1"/>
      </rPr>
      <t>AOP</t>
    </r>
    <r>
      <rPr>
        <sz val="10"/>
        <rFont val="Noto Sans CJK SC"/>
        <charset val="134"/>
      </rPr>
      <t>切面注解使用；日志查询</t>
    </r>
  </si>
  <si>
    <t>登录日志</t>
  </si>
  <si>
    <t>复用框架LoginLogService；登录成功/失败自动记录：手机号/IP/设备信息/登录结果/地理位置（IP解析）；支持查询和导出</t>
  </si>
  <si>
    <r>
      <rPr>
        <sz val="10"/>
        <rFont val="Arial"/>
        <charset val="1"/>
      </rPr>
      <t>IP</t>
    </r>
    <r>
      <rPr>
        <sz val="10"/>
        <rFont val="Noto Sans CJK SC"/>
        <charset val="134"/>
      </rPr>
      <t>归属地解析</t>
    </r>
  </si>
  <si>
    <t>接口日志</t>
  </si>
  <si>
    <t>复用框架ApiAccessLogFilter；所有API请求自动记录：URL/请求参数/响应时间/响应状态码/userAgent；慢请求（&gt;2s）自动告警</t>
  </si>
  <si>
    <r>
      <rPr>
        <sz val="10"/>
        <rFont val="Arial"/>
        <charset val="1"/>
      </rPr>
      <t>Logback</t>
    </r>
    <r>
      <rPr>
        <sz val="10"/>
        <rFont val="Noto Sans CJK SC"/>
        <charset val="134"/>
      </rPr>
      <t>配置；慢接口阈值告警</t>
    </r>
  </si>
  <si>
    <t>系统监控</t>
  </si>
  <si>
    <t>复用框架Spring Boot Actuator；配合Prometheus抓取JVM/HTTP/DB连接池等指标；Grafana配置预置仪表盘；关键指标：CPU/内存/GC/HTTP请求量/慢SQL</t>
  </si>
  <si>
    <r>
      <rPr>
        <sz val="10"/>
        <rFont val="Arial"/>
        <charset val="1"/>
      </rPr>
      <t>Actuator+Prometheus+Grafana</t>
    </r>
    <r>
      <rPr>
        <sz val="10"/>
        <rFont val="Noto Sans CJK SC"/>
        <charset val="134"/>
      </rPr>
      <t>集成</t>
    </r>
  </si>
  <si>
    <t>定时任务（XXL-Job）</t>
  </si>
  <si>
    <t>机构许可证预警
OrgPermitExpireTask</t>
  </si>
  <si>
    <t>每天02:00执行；查询DATEDIFF(permit_end_date,CURDATE())&lt;=90 AND &gt;=0 AND status=1；向leader_id发站内信+短信（许可证将于{date}到期请及时续期）；向平台超管发汇总邮件</t>
  </si>
  <si>
    <r>
      <rPr>
        <sz val="10"/>
        <rFont val="Arial"/>
        <charset val="1"/>
      </rPr>
      <t>XXL-Job</t>
    </r>
    <r>
      <rPr>
        <sz val="10"/>
        <rFont val="Noto Sans CJK SC"/>
        <charset val="134"/>
      </rPr>
      <t>调度；批量消息发送</t>
    </r>
  </si>
  <si>
    <t>证书到期预警
AgentCertExpireTask</t>
  </si>
  <si>
    <t>每天02:30执行；查询DATEDIFF(cert_expire_date,CURDATE()) IN(90,60,30,7) AND verify_status=1；向业务员发短信+站内信；向机构负责人发汇总报告</t>
  </si>
  <si>
    <t>定时批量通知</t>
  </si>
  <si>
    <t>库存预警
ProductStockAlertTask</t>
  </si>
  <si>
    <t>每天03:00执行；查询stock&gt;=0 AND stock&lt;=stock_alert_threshold AND status=1；向platform_admin角色用户发站内信（库存不足N件请及时补充）</t>
  </si>
  <si>
    <t>定时库存扫描；角色消息推送</t>
  </si>
  <si>
    <t>账号激活超期
AgentCodeInactiveTask</t>
  </si>
  <si>
    <t>每天04:00执行；查询status=0(待激活) AND DATEDIFF(CURDATE(),create_time)&gt;=agent.code.inactive.days(默认30天)；UPDATE status=2(停用)+system_users.status=1；发通知给机构管理员</t>
  </si>
  <si>
    <t>参数动态配置；批量状态更新</t>
  </si>
  <si>
    <t>密码到期提醒
PasswordExpireAlertTask</t>
  </si>
  <si>
    <t>每天05:00执行；查询system_users中password_update_time距今&gt;=password.expire.days(默认90天)的启用状态账号；发站内信提醒修改密码；密码超期后登录时强制跳转修改密码页</t>
  </si>
  <si>
    <t>密码有效期管理；登录拦截跳转</t>
  </si>
  <si>
    <t>前端+后端工时合计（天）</t>
  </si>
  <si>
    <t>保单管理（保单录入）</t>
  </si>
  <si>
    <t>保单录入（手工单笔录入）</t>
  </si>
  <si>
    <t>在【车险-保单管理-保单录入】录入单张车险保单。字段：保险公司、出单工号（下拉，已配置工号列表）、业务员、出单员、交强/商业险信息（保单号、车牌号、VIN码、车型、保费）、签单日期、支付日期、录入方式（直连/手工）；录入后系统自动触发佣金匹配计算；重复保单号+保司组合联合唯一校验拦截；支持录入后继续新增下一张保单（快速录入模式）。对应操作手册45号。</t>
  </si>
  <si>
    <t>联合唯一索引拦截重复录入；录入后自动触发佣金计算；出单工号与保司联动下拉</t>
  </si>
  <si>
    <t>前端1+后端1</t>
  </si>
  <si>
    <t>录单问题排查步骤（辅助功能）</t>
  </si>
  <si>
    <t>在录单异常时提供排查引导：按步骤检查工号是否配置、产品是否匹配、保单号格式是否合规、签单日期是否在政策有效期内；系统生成录单异常日志，方便内勤定位问题；支持将异常原因复制发送给业务员。对应操作手册46号。</t>
  </si>
  <si>
    <t>异常日志记录；步骤式排查引导UI</t>
  </si>
  <si>
    <t>保单号/车牌号批量录入</t>
  </si>
  <si>
    <t>在【批量录单】选项卡，输入多个保单号或车牌号（换行或逗号分隔），选择出单工号、业务员、出单员后，批量调用保司API获取保单信息并展示预览表格；用户确认后批量保存；失败条目展示失败原因（工号不匹配/保单不存在/已录入）并支持单条重试。对应操作手册47号。</t>
  </si>
  <si>
    <t>批量API调用需限流控制（max 20条/次）；失败条目单独展示并支持重试；防重录联合唯一校验</t>
  </si>
  <si>
    <t>批单录入</t>
  </si>
  <si>
    <t>录入保单批改信息（批单）：选择原保单号→填写批改类型（增保/减保/地址变更/信息变更）、批改原因、批改日期、批改金额（若有）；批改金额若涉及保费变化则联动佣金重算；批单录入记录关联原保单，可在保单详情中查看批改历史；支持批量导入批单Excel。对应操作手册48号。</t>
  </si>
  <si>
    <t>批单与原保单关联；保费变化时联动佣金重算；Excel批量导入EasyExcel解析</t>
  </si>
  <si>
    <t>保单管理（保单查询）</t>
  </si>
  <si>
    <t>保单查询列表（场景化查询）</t>
  </si>
  <si>
    <t>【车险-保单查询】主列表页，支持多种筛选场景（场景Tab切换）；默认展示字段：保险公司、保(批)单号、业务员、起保日期、保险止期、产品备注、工号名称、险种类型、产品、工号、保险分公司、操作；支持按日期类型（签单日期/支付日期）和日期区间筛选；列表底部汇总：总保费、净保费、交强净保费、商业净保费等；支持导出Excel。</t>
  </si>
  <si>
    <t>多场景Tab切换（自定义场景持久化）；底部汇总聚合SQL；大量字段动态列配置</t>
  </si>
  <si>
    <t>新增/修改场景管理</t>
  </si>
  <si>
    <t>用户可自定义查询场景（场景即筛选条件+展示列的组合）：点击【场景+】新增场景，配置筛选条件字段（从可选条件列表勾选，支持拖拽排序）和列表展示字段（勾选+排序）；可编辑已有场景；场景名称必填；灰色条件为系统固定条件不可移除；场景按用户维度保存，刷新后保留。对应操作手册50号。</t>
  </si>
  <si>
    <t>场景配置JSON存储；用户级别场景持久化；拖拽排序前端实现</t>
  </si>
  <si>
    <t>表格批量导入保单</t>
  </si>
  <si>
    <t>通过Excel模板批量导入车险保单：下载模板→填写数据→上传文件→系统预解析返回预览（显示总条数/格式错误行/重复行）→用户确认→异步批量写库；导入结果可在【任务列表-保单导入列表】查看批次状态和失败明细；导入成功记录写insurance_car_policy表。对应操作手册51号。</t>
  </si>
  <si>
    <t>EasyExcel异步导入；Redis INCR生成唯一批次号；重复保单检测；MQ异步处理防超时</t>
  </si>
  <si>
    <t>车险保单导出</t>
  </si>
  <si>
    <t>在保单查询列表勾选保单或按筛选条件批量导出Excel：≤2000条同步生成文件流；&gt;2000条异步生成，完成后站内信通知下载链接；导出字段可通过场景管理配置；支持选择导出格式（完整版/简版）。对应操作手册52号。</t>
  </si>
  <si>
    <t>大数据量异步导出EasyExcel；OSS存储下载链接；超时保护</t>
  </si>
  <si>
    <t>批量更新保单数据</t>
  </si>
  <si>
    <t>在保单查询列表勾选多条保单，点击【批量更新】，选择要批量修改的字段（如业务员归属、出单员、录入方式等）→弹窗填写新值→确认后批量更新；更新前校验字段合法性；操作记录写sys_operate_log；支持通过导入Excel模板批量更新（下载含保单号的模板→填写修改列→上传）。对应操作手册53号。</t>
  </si>
  <si>
    <t>批量操作分布式锁防并发；EasyExcel导入批量更新；操作审计日志</t>
  </si>
  <si>
    <t>保单批量删除</t>
  </si>
  <si>
    <t>在保单查询列表勾选多条保单，点击【批量删除】，弹出二次确认弹窗（展示将删除条数）；确认后逻辑删除（is_deleted=1），不物理删除；删除前校验保单是否已参与佣金结算（已结算不允许删除，提示先撤销结算）；操作写审计日志。对应操作手册54号。</t>
  </si>
  <si>
    <t>逻辑删除；删除前校验已结算保单；二次确认防误删</t>
  </si>
  <si>
    <t>表格导入保单查询删除</t>
  </si>
  <si>
    <t>通过导入含保单号的Excel文件，批量筛选出这批保单并展示在列表中，支持对这批保单执行批量删除操作；适用于按保司下发的保单号列表批量清理的场景。对应操作手册55号。</t>
  </si>
  <si>
    <t>与批量导入保单功能复用EasyExcel解析组件；筛选后展示再二次确认删除</t>
  </si>
  <si>
    <t>通过导入ID筛选保单</t>
  </si>
  <si>
    <t>在保单查询页的【任务列表-保单导入列表】可查看历史导入批次的导入任务ID；在保单查询筛选条件中使用【导入任务ID】字段，精确筛选该批次导入的所有保单，用于批量删除或数据核对。对应操作手册56号。</t>
  </si>
  <si>
    <t>导入任务ID字段需加入场景可选条件中；与任务列表双向关联</t>
  </si>
  <si>
    <t>多个保单号逗号隔开搜索设置</t>
  </si>
  <si>
    <t>配置保单查询支持在保单号搜索框中输入多个保单号（以英文逗号分隔），系统解析后生成IN查询；在【保单设置】中可配置是否开启此模式；开启后查询框提示语变更为"可输入多个保单号，逗号分隔"。对应操作手册57号。</t>
  </si>
  <si>
    <t>逗号分隔解析生成SQL IN语句；保单号数量上限500条</t>
  </si>
  <si>
    <t>车险保单添加非车保单</t>
  </si>
  <si>
    <t>在车险保单详情页，展开【非车信息】Tab，点击【新增产品】，关联录入一条非车险产品信息（险种名称、保司、保费、保险期间等）；保存后非车保单号同步到非车模块；日期格式必须为xxxx-xx-xx格式，否则无法同步。对应操作手册58号。</t>
  </si>
  <si>
    <t>车险保单与非车保单跨模块关联；同步逻辑：非车保单只允许添加系统产品库内的产品</t>
  </si>
  <si>
    <t>保单管理（保单设置）</t>
  </si>
  <si>
    <t>保单设置（字段与功能配置）</t>
  </si>
  <si>
    <t>在【车险-保单管理-保单设置】中配置保单管理的全局行为：①是否开启"多个保单号逗号隔开搜索"；②保单列表默认查询条件（日期类型：签单/支付/核保）；③默认展示的查询日期范围（当月/当季/自定义）；④保单号格式规则（长度范围、允许特殊字符）；⑤是否强制关联出单工号。对应操作手册59/61号。</t>
  </si>
  <si>
    <t>配置项存sys_config表；修改即时生效；影响所有用户的查询默认行为</t>
  </si>
  <si>
    <t>同步设置（商户间保单同步）</t>
  </si>
  <si>
    <t>配置将A商户的车险保单同步至B商户：①A商户后台开启录单同步功能（联系客户经理开通）；②A、B商户配置同一个保司工号；③在A商户【车险-保单管理-同步设置-保单同步】中添加目标商户B的配置；④之后A商户新录入的保单自动同步一份至B商户。适用于总公司与分公司之间的数据共享场景。对应操作手册60号。</t>
  </si>
  <si>
    <t>跨商户数据同步；需配置相同工号作为同步凭证；同步失败重试机制；异步MQ推送</t>
  </si>
  <si>
    <t>报表管理</t>
  </si>
  <si>
    <t>车险监管报表</t>
  </si>
  <si>
    <t>生成并导出符合监管要求的车险财务明细报表：按保险公司名称、手续费及佣金/咨询费、向保险公司收取的其他费用（转账/现金/返还保险公司/公司高管员工挪用侵占/支付无资格务费）分列；支持按年份、季度、月份筛选；提供监管报表/财务报表/业务报表三个子Tab；业务报表可查看各保司分险种保费件数手续费数据，并可导出Excel。对应操作手册71号。</t>
  </si>
  <si>
    <t>监管报表格式固定，按监管要求格式导出；多维度聚合统计SQL；数据精度保留小数后两位</t>
  </si>
  <si>
    <t>统计分析</t>
  </si>
  <si>
    <t>业务来源分析</t>
  </si>
  <si>
    <t>在【车险-统计分析-业务来源分析】，通过筛选条件（日期范围、组织机构、保险公司）展示：①上方图表：按业务来源渠道（直销/转介绍/网销等）的保单量和保费占比饼图或柱图；②下方数据表：各保险公司按业务来源分类的保单数、总保费、交强险、商业险、车船税等分列数据。对应操作手册73号。</t>
  </si>
  <si>
    <t>ECharts饼图+表格联动；业务来源字段从保单录入时记录；分组聚合SQL</t>
  </si>
  <si>
    <t>保险公司分析</t>
  </si>
  <si>
    <t>按保险公司维度统计分析：筛选日期范围和组织机构后，展示各保司的保单数、总保费、净保费、交强/商业/车船税分项数据；以横向柱状图展示保司保费排名；点击保司可下钻到该保司的月度趋势折线图；支持导出Excel。对应操作手册74号。</t>
  </si>
  <si>
    <t>ECharts柱状图；下钻查询需二次聚合；数据缓存Redis（15分钟TTL）</t>
  </si>
  <si>
    <t>组织部门业绩分析</t>
  </si>
  <si>
    <t>按组织架构树展示各部门/团队的车险业绩：筛选日期范围后，树形左侧展示组织层级，右侧展示该层级汇总数据（保单数、总保费、净保费、综合佣金率）；可展开到下级组织；数据支持按保司/险种二次筛选；支持导出当前视图数据。对应操作手册75号。</t>
  </si>
  <si>
    <t>树形组织递归聚合统计；大树结构性能优化（懒加载子节点）；权限控制（只能看自己及下级组织）</t>
  </si>
  <si>
    <t>工号数据分析</t>
  </si>
  <si>
    <t>按保司工号维度统计：展示各工号下的保单量、总保费、手续费收入、综合费率；可用于识别高效工号和低效工号；支持按保司/险种/日期筛选；下方明细表展示工号名称、绑定人员数、各指标数据；支持导出。对应操作手册76号。</t>
  </si>
  <si>
    <t>工号关联保单聚合；权限控制（管理员可见全量，普通用户只见自己工号）</t>
  </si>
  <si>
    <t>业务员业绩分析</t>
  </si>
  <si>
    <t>按业务员维度展示个人业绩：筛选日期范围、组织机构后，列表展示各业务员的保单数、总保费、各保司分列数据；下方各保司横向明细：保单数、总保费、交强、商业、车船税；支持搜索业务员姓名；支持导出Excel。对应操作手册77号。</t>
  </si>
  <si>
    <t>业务员维度聚合；按保司展开分列需动态列处理；数据权限（管理员全量/业务员仅自己）</t>
  </si>
  <si>
    <t>区域占比分析</t>
  </si>
  <si>
    <t>按地区维度分析：展示各区域（省/市）车险保单量占比和保费占比，以饼图或地图热力图展示；下方数据表按部门分组+各保司展示保费、净保费、保费比例数据；支持按日期/保司/组织机构筛选；支持导出。对应操作手册78号。</t>
  </si>
  <si>
    <t>ECharts地图热力图或饼图；区域字段从被保险车辆登记地获取；多保司分列动态SQL</t>
  </si>
  <si>
    <t>交商占比分析</t>
  </si>
  <si>
    <t>分析交强险和商业险的保单数量及保费占比关系：展示交强险/商业险件数饼图、保费占比饼图、及月度趋势折线图（交强/商业险保费走势）；下方表格按部门分列交强件数/保费和商业件数/保费；支持按日期/组织筛选。对应操作手册79号。</t>
  </si>
  <si>
    <t>ECharts双饼图+折线图；交强险/商业险险种标识从保单险种字段判断</t>
  </si>
  <si>
    <t>新旧车占比分析</t>
  </si>
  <si>
    <t>分析新车（首次上牌）和旧车（续保）的保单数量占比和保费金额占比：展示新旧车件数饼图、保费饼图；按保险公司分列新旧车数量和保费数据。对应操作手册80号。</t>
  </si>
  <si>
    <t>新旧车标识从保单字段获取；双维度饼图展示</t>
  </si>
  <si>
    <t>险种占比分析</t>
  </si>
  <si>
    <t>按险种（交强/商业机动车/营业性机动车等）分析保单量和保费占比：饼图展示各险种占比；下方按险种分列保单件数、总保费、净保费、手续费及费率数据；支持按日期/保司/组织筛选。对应操作手册81号。</t>
  </si>
  <si>
    <t>险种分类从产品险种编码映射；多险种动态分列</t>
  </si>
  <si>
    <t>分支机构分析（合计+各保司分列）</t>
  </si>
  <si>
    <t>按分支机构（分公司/营业部）维度统计业绩：左侧机构树，右侧展示合计数据（保单数、总保费、净保费、保费比例）及各保司分列数据；可根据保司费用查看各分支机构的手续费情况；支持展开子机构；提供两种视图（汇总视图/明细视图）。对应操作手册82/83号。</t>
  </si>
  <si>
    <t>递归机构树统计；动态按保司展开列；数据权限按机构隔离；缓存机构聚合数据</t>
  </si>
  <si>
    <t>产品库</t>
  </si>
  <si>
    <t>产品列表</t>
  </si>
  <si>
    <t>默认加载在售非车险产品，按销量降序；支持险种分类/保险公司/保障期限/缴费期限/年龄段5个筛选条件，多条件AND关系；筛选联动（选公司后分类自动过滤）；排序支持热销/佣金高/保费低；列表卡片显示亮点3条、热销角标(&gt;=100件)、高佣角标(&gt;=60%)、收藏状态；上拉加载更多，每页20条</t>
  </si>
  <si>
    <t>筛选联动逻辑需前后端协同设计</t>
  </si>
  <si>
    <t>产品详情</t>
  </si>
  <si>
    <t>多Tab展示：产品亮点/保障责任/费率说明/投保须知/FAQ/投保案例；coverage_detail JSON解析为结构化责任列表；停售产品仍可查看但隐藏试算/计划书入口；异步记录浏览日志；Redis缓存1小时</t>
  </si>
  <si>
    <r>
      <rPr>
        <sz val="11"/>
        <color theme="1"/>
        <rFont val="宋体"/>
        <charset val="134"/>
      </rPr>
      <t>JSON</t>
    </r>
    <r>
      <rPr>
        <sz val="11"/>
        <color theme="1"/>
        <rFont val="Noto Sans CJK SC"/>
        <charset val="134"/>
      </rPr>
      <t>字段解析、富文本渲染</t>
    </r>
  </si>
  <si>
    <t>产品对比</t>
  </si>
  <si>
    <t>2-4个产品横向对比，超出前端拦截；对比维度：基础信息/投保条件/保障责任/参考保费/增值服务/佣金信息；后端解析各产品coverage_detail JSON、合并去重构建责任维度、标记差异项；差异高亮：数值型最优绿色/最差灰色，布尔型√/-，独有责任红色⭐独有标签</t>
  </si>
  <si>
    <t>对比矩阵算法，差异高亮规则</t>
  </si>
  <si>
    <t>产品收藏</t>
  </si>
  <si>
    <t>卡片右上角或详情页点击收藏图标；已收藏金色实心星，未收藏灰色空心星；收藏夹Tab展示该业务员所有收藏产品，按收藏时间倒序；长按批量移除；ins_product_favorite表存储(agent_id, product_id)，Redis Set同步</t>
  </si>
  <si>
    <t>幂等处理</t>
  </si>
  <si>
    <t>产品搜索</t>
  </si>
  <si>
    <t>搜索框展示历史搜索词和热门词；输入&gt;1字实时联想(防抖300ms)；搜索支持产品名/公司名/险种/保障内容关键词；特殊字符清洗；MySQL LIKE匹配（未部署ES则降级）；异步写搜索日志；命中优先级：产品名&gt;公司名&gt;分类</t>
  </si>
  <si>
    <t>关键词清洗、降级兼容</t>
  </si>
  <si>
    <t>产品推荐</t>
  </si>
  <si>
    <r>
      <rPr>
        <sz val="11"/>
        <color theme="1"/>
        <rFont val="Noto Sans CJK SC"/>
        <charset val="134"/>
      </rPr>
      <t>基于当前业务员历史成交数据，首页展示</t>
    </r>
    <r>
      <rPr>
        <sz val="11"/>
        <color theme="1"/>
        <rFont val="宋体-简"/>
        <charset val="134"/>
      </rPr>
      <t>"</t>
    </r>
    <r>
      <rPr>
        <sz val="11"/>
        <color theme="1"/>
        <rFont val="Noto Sans CJK SC"/>
        <charset val="134"/>
      </rPr>
      <t>猜你在推</t>
    </r>
    <r>
      <rPr>
        <sz val="11"/>
        <color theme="1"/>
        <rFont val="宋体-简"/>
        <charset val="134"/>
      </rPr>
      <t>"</t>
    </r>
    <r>
      <rPr>
        <sz val="11"/>
        <color theme="1"/>
        <rFont val="Noto Sans CJK SC"/>
        <charset val="134"/>
      </rPr>
      <t>产品模块（最多</t>
    </r>
    <r>
      <rPr>
        <sz val="11"/>
        <color theme="1"/>
        <rFont val="宋体-简"/>
        <charset val="134"/>
      </rPr>
      <t>6</t>
    </r>
    <r>
      <rPr>
        <sz val="11"/>
        <color theme="1"/>
        <rFont val="Noto Sans CJK SC"/>
        <charset val="134"/>
      </rPr>
      <t>条）；推荐算法：按该业务员近</t>
    </r>
    <r>
      <rPr>
        <sz val="11"/>
        <color theme="1"/>
        <rFont val="宋体-简"/>
        <charset val="134"/>
      </rPr>
      <t>90</t>
    </r>
    <r>
      <rPr>
        <sz val="11"/>
        <color theme="1"/>
        <rFont val="Noto Sans CJK SC"/>
        <charset val="134"/>
      </rPr>
      <t xml:space="preserve">天成交险种分布加权 </t>
    </r>
    <r>
      <rPr>
        <sz val="11"/>
        <color theme="1"/>
        <rFont val="宋体-简"/>
        <charset val="134"/>
      </rPr>
      <t xml:space="preserve">+ </t>
    </r>
    <r>
      <rPr>
        <sz val="11"/>
        <color theme="1"/>
        <rFont val="Noto Sans CJK SC"/>
        <charset val="134"/>
      </rPr>
      <t xml:space="preserve">新品 </t>
    </r>
    <r>
      <rPr>
        <sz val="11"/>
        <color theme="1"/>
        <rFont val="宋体-简"/>
        <charset val="134"/>
      </rPr>
      <t xml:space="preserve">+ </t>
    </r>
    <r>
      <rPr>
        <sz val="11"/>
        <color theme="1"/>
        <rFont val="Noto Sans CJK SC"/>
        <charset val="134"/>
      </rPr>
      <t>热销综合评分；</t>
    </r>
    <r>
      <rPr>
        <sz val="11"/>
        <color theme="1"/>
        <rFont val="宋体-简"/>
        <charset val="134"/>
      </rPr>
      <t>Redis</t>
    </r>
    <r>
      <rPr>
        <sz val="11"/>
        <color theme="1"/>
        <rFont val="Noto Sans CJK SC"/>
        <charset val="134"/>
      </rPr>
      <t>缓存推荐结果</t>
    </r>
    <r>
      <rPr>
        <sz val="11"/>
        <color theme="1"/>
        <rFont val="宋体-简"/>
        <charset val="134"/>
      </rPr>
      <t>TTL 2</t>
    </r>
    <r>
      <rPr>
        <sz val="11"/>
        <color theme="1"/>
        <rFont val="Noto Sans CJK SC"/>
        <charset val="134"/>
      </rPr>
      <t>小时（业务员维度）；可手动刷新；点击埋点记录</t>
    </r>
  </si>
  <si>
    <r>
      <rPr>
        <sz val="11"/>
        <color theme="1"/>
        <rFont val="Noto Sans CJK SC"/>
        <charset val="134"/>
      </rPr>
      <t>推荐权重计算，</t>
    </r>
    <r>
      <rPr>
        <sz val="11"/>
        <color theme="1"/>
        <rFont val="宋体"/>
        <charset val="134"/>
      </rPr>
      <t>Redis</t>
    </r>
    <r>
      <rPr>
        <sz val="11"/>
        <color theme="1"/>
        <rFont val="Noto Sans CJK SC"/>
        <charset val="134"/>
      </rPr>
      <t>缓存业务员维度</t>
    </r>
  </si>
  <si>
    <r>
      <rPr>
        <sz val="11"/>
        <color theme="1"/>
        <rFont val="Noto Sans CJK SC"/>
        <charset val="134"/>
      </rPr>
      <t>前端</t>
    </r>
    <r>
      <rPr>
        <sz val="11"/>
        <color theme="1"/>
        <rFont val="宋体"/>
        <charset val="134"/>
      </rPr>
      <t>1+</t>
    </r>
    <r>
      <rPr>
        <sz val="11"/>
        <color theme="1"/>
        <rFont val="Noto Sans CJK SC"/>
        <charset val="134"/>
      </rPr>
      <t>后端</t>
    </r>
    <r>
      <rPr>
        <sz val="11"/>
        <color theme="1"/>
        <rFont val="宋体"/>
        <charset val="134"/>
      </rPr>
      <t>1</t>
    </r>
  </si>
  <si>
    <t>新增</t>
  </si>
  <si>
    <t>产品展业码</t>
  </si>
  <si>
    <r>
      <rPr>
        <sz val="11"/>
        <color theme="1"/>
        <rFont val="Noto Sans CJK SC"/>
        <charset val="134"/>
      </rPr>
      <t>每个产品生成专属展业二维码（</t>
    </r>
    <r>
      <rPr>
        <sz val="11"/>
        <color theme="1"/>
        <rFont val="宋体-简"/>
        <charset val="134"/>
      </rPr>
      <t>URL</t>
    </r>
    <r>
      <rPr>
        <sz val="11"/>
        <color theme="1"/>
        <rFont val="Noto Sans CJK SC"/>
        <charset val="134"/>
      </rPr>
      <t>携带</t>
    </r>
    <r>
      <rPr>
        <sz val="11"/>
        <color theme="1"/>
        <rFont val="宋体-简"/>
        <charset val="134"/>
      </rPr>
      <t>agentId+productId</t>
    </r>
    <r>
      <rPr>
        <sz val="11"/>
        <color theme="1"/>
        <rFont val="Noto Sans CJK SC"/>
        <charset val="134"/>
      </rPr>
      <t>参数）；扫码后</t>
    </r>
    <r>
      <rPr>
        <sz val="11"/>
        <color theme="1"/>
        <rFont val="宋体-简"/>
        <charset val="134"/>
      </rPr>
      <t>C</t>
    </r>
    <r>
      <rPr>
        <sz val="11"/>
        <color theme="1"/>
        <rFont val="Noto Sans CJK SC"/>
        <charset val="134"/>
      </rPr>
      <t>端跳转直接进入该产品投保页并绑定业务员来源；</t>
    </r>
    <r>
      <rPr>
        <sz val="11"/>
        <color theme="1"/>
        <rFont val="宋体-简"/>
        <charset val="134"/>
      </rPr>
      <t>PC</t>
    </r>
    <r>
      <rPr>
        <sz val="11"/>
        <color theme="1"/>
        <rFont val="Noto Sans CJK SC"/>
        <charset val="134"/>
      </rPr>
      <t>后台可统计各业务员展业码扫码转化率；二维码长期有效（</t>
    </r>
    <r>
      <rPr>
        <sz val="11"/>
        <color theme="1"/>
        <rFont val="宋体-简"/>
        <charset val="134"/>
      </rPr>
      <t>UUID Token</t>
    </r>
    <r>
      <rPr>
        <sz val="11"/>
        <color theme="1"/>
        <rFont val="Noto Sans CJK SC"/>
        <charset val="134"/>
      </rPr>
      <t>入库不过期）；支持批量生成多个产品展业码打包下载</t>
    </r>
  </si>
  <si>
    <t>二维码批量生成，来源追踪绑定</t>
  </si>
  <si>
    <t>产品资料包</t>
  </si>
  <si>
    <r>
      <rPr>
        <sz val="11"/>
        <color theme="1"/>
        <rFont val="Noto Sans CJK SC"/>
        <charset val="134"/>
      </rPr>
      <t>产品详情页底部</t>
    </r>
    <r>
      <rPr>
        <sz val="11"/>
        <color theme="1"/>
        <rFont val="宋体-简"/>
        <charset val="134"/>
      </rPr>
      <t>"</t>
    </r>
    <r>
      <rPr>
        <sz val="11"/>
        <color theme="1"/>
        <rFont val="Noto Sans CJK SC"/>
        <charset val="134"/>
      </rPr>
      <t>资料下载</t>
    </r>
    <r>
      <rPr>
        <sz val="11"/>
        <color theme="1"/>
        <rFont val="宋体-简"/>
        <charset val="134"/>
      </rPr>
      <t>"</t>
    </r>
    <r>
      <rPr>
        <sz val="11"/>
        <color theme="1"/>
        <rFont val="Noto Sans CJK SC"/>
        <charset val="134"/>
      </rPr>
      <t>区域；展示该产品关联的销售手册</t>
    </r>
    <r>
      <rPr>
        <sz val="11"/>
        <color theme="1"/>
        <rFont val="宋体-简"/>
        <charset val="134"/>
      </rPr>
      <t>/</t>
    </r>
    <r>
      <rPr>
        <sz val="11"/>
        <color theme="1"/>
        <rFont val="Noto Sans CJK SC"/>
        <charset val="134"/>
      </rPr>
      <t>条款</t>
    </r>
    <r>
      <rPr>
        <sz val="11"/>
        <color theme="1"/>
        <rFont val="宋体-简"/>
        <charset val="134"/>
      </rPr>
      <t>/</t>
    </r>
    <r>
      <rPr>
        <sz val="11"/>
        <color theme="1"/>
        <rFont val="Noto Sans CJK SC"/>
        <charset val="134"/>
      </rPr>
      <t>费率表</t>
    </r>
    <r>
      <rPr>
        <sz val="11"/>
        <color theme="1"/>
        <rFont val="宋体-简"/>
        <charset val="134"/>
      </rPr>
      <t>/</t>
    </r>
    <r>
      <rPr>
        <sz val="11"/>
        <color theme="1"/>
        <rFont val="Noto Sans CJK SC"/>
        <charset val="134"/>
      </rPr>
      <t>核保指南等附件（</t>
    </r>
    <r>
      <rPr>
        <sz val="11"/>
        <color theme="1"/>
        <rFont val="宋体-简"/>
        <charset val="134"/>
      </rPr>
      <t>ins_product_attachment</t>
    </r>
    <r>
      <rPr>
        <sz val="11"/>
        <color theme="1"/>
        <rFont val="Noto Sans CJK SC"/>
        <charset val="134"/>
      </rPr>
      <t>表管理）；支持在线预览</t>
    </r>
    <r>
      <rPr>
        <sz val="11"/>
        <color theme="1"/>
        <rFont val="宋体-简"/>
        <charset val="134"/>
      </rPr>
      <t>PDF</t>
    </r>
    <r>
      <rPr>
        <sz val="11"/>
        <color theme="1"/>
        <rFont val="Noto Sans CJK SC"/>
        <charset val="134"/>
      </rPr>
      <t>和图片；支持下载到本地；下载行为异步记录日志；资料包由</t>
    </r>
    <r>
      <rPr>
        <sz val="11"/>
        <color theme="1"/>
        <rFont val="宋体-简"/>
        <charset val="134"/>
      </rPr>
      <t>PC</t>
    </r>
    <r>
      <rPr>
        <sz val="11"/>
        <color theme="1"/>
        <rFont val="Noto Sans CJK SC"/>
        <charset val="134"/>
      </rPr>
      <t>后台产品管理员上传维护</t>
    </r>
  </si>
  <si>
    <r>
      <rPr>
        <sz val="11"/>
        <color theme="1"/>
        <rFont val="宋体"/>
        <charset val="134"/>
      </rPr>
      <t>OSS</t>
    </r>
    <r>
      <rPr>
        <sz val="11"/>
        <color theme="1"/>
        <rFont val="Noto Sans CJK SC"/>
        <charset val="134"/>
      </rPr>
      <t>附件管理，移动端</t>
    </r>
    <r>
      <rPr>
        <sz val="11"/>
        <color theme="1"/>
        <rFont val="宋体"/>
        <charset val="134"/>
      </rPr>
      <t>PDF</t>
    </r>
    <r>
      <rPr>
        <sz val="11"/>
        <color theme="1"/>
        <rFont val="Noto Sans CJK SC"/>
        <charset val="134"/>
      </rPr>
      <t>预览</t>
    </r>
  </si>
  <si>
    <t>保费试算</t>
  </si>
  <si>
    <t>试算表单</t>
  </si>
  <si>
    <t>被保人姓名/出生日期/性别/职业类别(1-6类)/保额/缴费期限/保障期限/是否吸烟(重疾寿险才展示)；年龄校验：按产品min_age/max_age，周岁计算；保额校验：范围+amount_increment整数倍；缴费结束年龄&gt;60提示不阻断；选至70岁保障时被保人当前年龄&gt;=70报错；职业类别&gt;产品限制报错</t>
  </si>
  <si>
    <t>字段联动校验逻辑复杂</t>
  </si>
  <si>
    <t>试算引擎</t>
  </si>
  <si>
    <t>后端从产品表读取Groovy脚本(premium_formula)和费率表(rate_table JSON)；构建参数Map传入Groovy引擎执行（超时5秒强制中断）；缓存Key=quotation:{productId}:{age}:{gender}:{amount}:{payPeriod}:{covPeriod}:{occClass}:{nonSmoker}，TTL 24小时；结果包含年缴/月缴/总缴保费</t>
  </si>
  <si>
    <r>
      <rPr>
        <sz val="11"/>
        <color theme="1"/>
        <rFont val="宋体"/>
        <charset val="134"/>
      </rPr>
      <t>Groovy</t>
    </r>
    <r>
      <rPr>
        <sz val="11"/>
        <color theme="1"/>
        <rFont val="Noto Sans CJK SC"/>
        <charset val="134"/>
      </rPr>
      <t>沙箱安全配置，缓存策略</t>
    </r>
  </si>
  <si>
    <t>保费展示</t>
  </si>
  <si>
    <t>试算结果卡片展示年缴/月缴/总缴保费+方案摘要；支持同产品不同缴费期并排对比；提供【制作计划书】按钮带入当前试算参数跳转</t>
  </si>
  <si>
    <t>利益演示</t>
  </si>
  <si>
    <t>仅年金险/增额终身寿展示；逐年利益表(年度/年龄/累计保费/生存金/累计领取/现金价值)；回本年限计算；IRR用牛顿迭代法计算(精度0.01%，最多100次迭代)；ECharts折线图展示累计保费vs现金价值，交叉点即回本年</t>
  </si>
  <si>
    <r>
      <rPr>
        <sz val="11"/>
        <color theme="1"/>
        <rFont val="宋体"/>
        <charset val="134"/>
      </rPr>
      <t>IRR</t>
    </r>
    <r>
      <rPr>
        <sz val="11"/>
        <color theme="1"/>
        <rFont val="Noto Sans CJK SC"/>
        <charset val="134"/>
      </rPr>
      <t>算法实现，图表交互</t>
    </r>
  </si>
  <si>
    <t>试算历史记录</t>
  </si>
  <si>
    <r>
      <rPr>
        <sz val="11"/>
        <color theme="1"/>
        <rFont val="Noto Sans CJK SC"/>
        <charset val="134"/>
      </rPr>
      <t>保存最近</t>
    </r>
    <r>
      <rPr>
        <sz val="11"/>
        <color theme="1"/>
        <rFont val="宋体"/>
        <charset val="134"/>
      </rPr>
      <t>20</t>
    </r>
    <r>
      <rPr>
        <sz val="11"/>
        <color theme="1"/>
        <rFont val="Noto Sans CJK SC"/>
        <charset val="134"/>
      </rPr>
      <t>条试算记录（本地存储</t>
    </r>
    <r>
      <rPr>
        <sz val="11"/>
        <color theme="1"/>
        <rFont val="宋体"/>
        <charset val="134"/>
      </rPr>
      <t>+</t>
    </r>
    <r>
      <rPr>
        <sz val="11"/>
        <color theme="1"/>
        <rFont val="Noto Sans CJK SC"/>
        <charset val="134"/>
      </rPr>
      <t>服务端同步）；记录包含：产品名</t>
    </r>
    <r>
      <rPr>
        <sz val="11"/>
        <color theme="1"/>
        <rFont val="宋体"/>
        <charset val="134"/>
      </rPr>
      <t>/</t>
    </r>
    <r>
      <rPr>
        <sz val="11"/>
        <color theme="1"/>
        <rFont val="Noto Sans CJK SC"/>
        <charset val="134"/>
      </rPr>
      <t>被保人信息</t>
    </r>
    <r>
      <rPr>
        <sz val="11"/>
        <color theme="1"/>
        <rFont val="宋体"/>
        <charset val="134"/>
      </rPr>
      <t>/</t>
    </r>
    <r>
      <rPr>
        <sz val="11"/>
        <color theme="1"/>
        <rFont val="Noto Sans CJK SC"/>
        <charset val="134"/>
      </rPr>
      <t>试算参数</t>
    </r>
    <r>
      <rPr>
        <sz val="11"/>
        <color theme="1"/>
        <rFont val="宋体"/>
        <charset val="134"/>
      </rPr>
      <t>/</t>
    </r>
    <r>
      <rPr>
        <sz val="11"/>
        <color theme="1"/>
        <rFont val="Noto Sans CJK SC"/>
        <charset val="134"/>
      </rPr>
      <t>保费结果</t>
    </r>
    <r>
      <rPr>
        <sz val="11"/>
        <color theme="1"/>
        <rFont val="宋体"/>
        <charset val="134"/>
      </rPr>
      <t>/</t>
    </r>
    <r>
      <rPr>
        <sz val="11"/>
        <color theme="1"/>
        <rFont val="Noto Sans CJK SC"/>
        <charset val="134"/>
      </rPr>
      <t>时间戳；列表展示支持重新试算（回填参数）和一键制作计划书；超出</t>
    </r>
    <r>
      <rPr>
        <sz val="11"/>
        <color theme="1"/>
        <rFont val="宋体"/>
        <charset val="134"/>
      </rPr>
      <t>20</t>
    </r>
    <r>
      <rPr>
        <sz val="11"/>
        <color theme="1"/>
        <rFont val="Noto Sans CJK SC"/>
        <charset val="134"/>
      </rPr>
      <t>条自动删除最旧记录；试算记录存</t>
    </r>
    <r>
      <rPr>
        <sz val="11"/>
        <color theme="1"/>
        <rFont val="宋体"/>
        <charset val="134"/>
      </rPr>
      <t>ins_premium_calc_history</t>
    </r>
  </si>
  <si>
    <r>
      <rPr>
        <sz val="11"/>
        <color theme="1"/>
        <rFont val="Noto Sans CJK SC"/>
        <charset val="134"/>
      </rPr>
      <t>本地</t>
    </r>
    <r>
      <rPr>
        <sz val="11"/>
        <color theme="1"/>
        <rFont val="宋体"/>
        <charset val="134"/>
      </rPr>
      <t>+</t>
    </r>
    <r>
      <rPr>
        <sz val="11"/>
        <color theme="1"/>
        <rFont val="Noto Sans CJK SC"/>
        <charset val="134"/>
      </rPr>
      <t>服务端双存储同步</t>
    </r>
  </si>
  <si>
    <t>多人批量试算</t>
  </si>
  <si>
    <r>
      <rPr>
        <sz val="11"/>
        <color theme="1"/>
        <rFont val="Noto Sans CJK SC"/>
        <charset val="134"/>
      </rPr>
      <t>企业团险</t>
    </r>
    <r>
      <rPr>
        <sz val="11"/>
        <color theme="1"/>
        <rFont val="宋体"/>
        <charset val="134"/>
      </rPr>
      <t>/</t>
    </r>
    <r>
      <rPr>
        <sz val="11"/>
        <color theme="1"/>
        <rFont val="Noto Sans CJK SC"/>
        <charset val="134"/>
      </rPr>
      <t>意外险场景：上传</t>
    </r>
    <r>
      <rPr>
        <sz val="11"/>
        <color theme="1"/>
        <rFont val="宋体"/>
        <charset val="134"/>
      </rPr>
      <t>Excel</t>
    </r>
    <r>
      <rPr>
        <sz val="11"/>
        <color theme="1"/>
        <rFont val="Noto Sans CJK SC"/>
        <charset val="134"/>
      </rPr>
      <t>名单（姓名</t>
    </r>
    <r>
      <rPr>
        <sz val="11"/>
        <color theme="1"/>
        <rFont val="宋体"/>
        <charset val="134"/>
      </rPr>
      <t>/</t>
    </r>
    <r>
      <rPr>
        <sz val="11"/>
        <color theme="1"/>
        <rFont val="Noto Sans CJK SC"/>
        <charset val="134"/>
      </rPr>
      <t>年龄</t>
    </r>
    <r>
      <rPr>
        <sz val="11"/>
        <color theme="1"/>
        <rFont val="宋体"/>
        <charset val="134"/>
      </rPr>
      <t>/</t>
    </r>
    <r>
      <rPr>
        <sz val="11"/>
        <color theme="1"/>
        <rFont val="Noto Sans CJK SC"/>
        <charset val="134"/>
      </rPr>
      <t>性别</t>
    </r>
    <r>
      <rPr>
        <sz val="11"/>
        <color theme="1"/>
        <rFont val="宋体"/>
        <charset val="134"/>
      </rPr>
      <t>/</t>
    </r>
    <r>
      <rPr>
        <sz val="11"/>
        <color theme="1"/>
        <rFont val="Noto Sans CJK SC"/>
        <charset val="134"/>
      </rPr>
      <t>职业类别）批量试算；支持最多</t>
    </r>
    <r>
      <rPr>
        <sz val="11"/>
        <color theme="1"/>
        <rFont val="宋体"/>
        <charset val="134"/>
      </rPr>
      <t>200</t>
    </r>
    <r>
      <rPr>
        <sz val="11"/>
        <color theme="1"/>
        <rFont val="Noto Sans CJK SC"/>
        <charset val="134"/>
      </rPr>
      <t>人；后端并发调用</t>
    </r>
    <r>
      <rPr>
        <sz val="11"/>
        <color theme="1"/>
        <rFont val="宋体"/>
        <charset val="134"/>
      </rPr>
      <t>Groovy</t>
    </r>
    <r>
      <rPr>
        <sz val="11"/>
        <color theme="1"/>
        <rFont val="Noto Sans CJK SC"/>
        <charset val="134"/>
      </rPr>
      <t>引擎（线程池限制</t>
    </r>
    <r>
      <rPr>
        <sz val="11"/>
        <color theme="1"/>
        <rFont val="宋体"/>
        <charset val="134"/>
      </rPr>
      <t>20</t>
    </r>
    <r>
      <rPr>
        <sz val="11"/>
        <color theme="1"/>
        <rFont val="Noto Sans CJK SC"/>
        <charset val="134"/>
      </rPr>
      <t>并发）；结果以表格展示含每人保费及合计；支持导出</t>
    </r>
    <r>
      <rPr>
        <sz val="11"/>
        <color theme="1"/>
        <rFont val="宋体"/>
        <charset val="134"/>
      </rPr>
      <t>Excel</t>
    </r>
    <r>
      <rPr>
        <sz val="11"/>
        <color theme="1"/>
        <rFont val="Noto Sans CJK SC"/>
        <charset val="134"/>
      </rPr>
      <t>；超时任务</t>
    </r>
    <r>
      <rPr>
        <sz val="11"/>
        <color theme="1"/>
        <rFont val="宋体"/>
        <charset val="134"/>
      </rPr>
      <t>MQ</t>
    </r>
    <r>
      <rPr>
        <sz val="11"/>
        <color theme="1"/>
        <rFont val="Noto Sans CJK SC"/>
        <charset val="134"/>
      </rPr>
      <t>异步处理</t>
    </r>
  </si>
  <si>
    <r>
      <rPr>
        <sz val="11"/>
        <color theme="1"/>
        <rFont val="Noto Sans CJK SC"/>
        <charset val="134"/>
      </rPr>
      <t>并发</t>
    </r>
    <r>
      <rPr>
        <sz val="11"/>
        <color theme="1"/>
        <rFont val="宋体"/>
        <charset val="134"/>
      </rPr>
      <t>Groovy</t>
    </r>
    <r>
      <rPr>
        <sz val="11"/>
        <color theme="1"/>
        <rFont val="Noto Sans CJK SC"/>
        <charset val="134"/>
      </rPr>
      <t>执行，</t>
    </r>
    <r>
      <rPr>
        <sz val="11"/>
        <color theme="1"/>
        <rFont val="宋体"/>
        <charset val="134"/>
      </rPr>
      <t>Excel</t>
    </r>
    <r>
      <rPr>
        <sz val="11"/>
        <color theme="1"/>
        <rFont val="Noto Sans CJK SC"/>
        <charset val="134"/>
      </rPr>
      <t>解析导出</t>
    </r>
  </si>
  <si>
    <t>计划书制作</t>
  </si>
  <si>
    <t>计划书模板</t>
  </si>
  <si>
    <t>展示系统预置模板列表(个人版/家庭版/企业版)；卡片形式含缩略图+名称+适用场景；可预览模板；业务员自定义模板Tab展示历史配置</t>
  </si>
  <si>
    <t>方案配置</t>
  </si>
  <si>
    <t>被保人/投保人信息填写（可关联已有客户自动填入）；支持主险+最多5个附加险组合；附加险通过compatible_main_product_ids匹配兼容性；选产品后参数自动调用试算接口计算年缴保费；附加险保额&lt;=主险保额校验；点击生成前预校验所有产品在售状态</t>
  </si>
  <si>
    <t>产品兼容性规则，试算自动触发</t>
  </si>
  <si>
    <t>保障演示</t>
  </si>
  <si>
    <t>聚合所有选中产品的coverage_detail，按责任类型分组展示；多产品叠加展示合计保障（A险50万+B险30万=80万）；业务员可选择隐藏特定责任项（入库记录hidden_coverages）</t>
  </si>
  <si>
    <t>责任聚合算法</t>
  </si>
  <si>
    <t>现金价值表</t>
  </si>
  <si>
    <t>仅储蓄型产品展示；调用利益演示接口获取逐年数据；表格+折线图双展示；显示回本年限和IRR；多产品分别计算后合并</t>
  </si>
  <si>
    <t>计划书生成</t>
  </si>
  <si>
    <t>点击生成后全屏Loading；后端异步生成PDF（MQ异步消费）；前端轮询status接口（2秒/次，最长60秒）；PDF生成：Freemarker模板→HTML→wkhtmltopdf/iText转PDF→OSS存储→回写pdf_url；生成编号规则：PS+年月日+6位序列</t>
  </si>
  <si>
    <t>异步生成+轮询机制，PDF模板设计</t>
  </si>
  <si>
    <t>计划书分享</t>
  </si>
  <si>
    <t>生成H5链接（UUID Token，存Redis TTL 30天）；同时生成二维码图片上传OSS；H5页面无需登录访问，展示封面+方案+保障责任+业务员联系方式；H5禁止下载PDF；链接设防盗链</t>
  </si>
  <si>
    <r>
      <rPr>
        <sz val="11"/>
        <color theme="1"/>
        <rFont val="宋体"/>
        <charset val="134"/>
      </rPr>
      <t>H5</t>
    </r>
    <r>
      <rPr>
        <sz val="11"/>
        <color theme="1"/>
        <rFont val="Noto Sans CJK SC"/>
        <charset val="134"/>
      </rPr>
      <t>独立页面开发</t>
    </r>
  </si>
  <si>
    <t>查看追踪</t>
  </si>
  <si>
    <t>客户访问H5时异步记录ins_proposal_view_log（IP/UA/地区/时间）；view_count+1；向业务员推送App消息通知（同一IP 24小时内仅推送1次）；业务员在计划书列表/详情可查看查看次数和记录</t>
  </si>
  <si>
    <t>IP去重推送防骚扰</t>
  </si>
  <si>
    <t>计划书模板自定义</t>
  </si>
  <si>
    <r>
      <rPr>
        <sz val="11"/>
        <color theme="1"/>
        <rFont val="Noto Sans CJK SC"/>
        <charset val="134"/>
      </rPr>
      <t>业务员可自定义计划书封面（上传</t>
    </r>
    <r>
      <rPr>
        <sz val="11"/>
        <color theme="1"/>
        <rFont val="宋体"/>
        <charset val="134"/>
      </rPr>
      <t>LOGO/</t>
    </r>
    <r>
      <rPr>
        <sz val="11"/>
        <color theme="1"/>
        <rFont val="Noto Sans CJK SC"/>
        <charset val="134"/>
      </rPr>
      <t>背景图）、选择颜色主题（</t>
    </r>
    <r>
      <rPr>
        <sz val="11"/>
        <color theme="1"/>
        <rFont val="宋体"/>
        <charset val="134"/>
      </rPr>
      <t>5</t>
    </r>
    <r>
      <rPr>
        <sz val="11"/>
        <color theme="1"/>
        <rFont val="Noto Sans CJK SC"/>
        <charset val="134"/>
      </rPr>
      <t>种预设）、自定义结尾服务承诺文本（最多</t>
    </r>
    <r>
      <rPr>
        <sz val="11"/>
        <color theme="1"/>
        <rFont val="宋体"/>
        <charset val="134"/>
      </rPr>
      <t>300</t>
    </r>
    <r>
      <rPr>
        <sz val="11"/>
        <color theme="1"/>
        <rFont val="Noto Sans CJK SC"/>
        <charset val="134"/>
      </rPr>
      <t>字）、选择是否展示佣金信息；自定义配置存</t>
    </r>
    <r>
      <rPr>
        <sz val="11"/>
        <color theme="1"/>
        <rFont val="宋体"/>
        <charset val="134"/>
      </rPr>
      <t>ins_agent_proposal_config</t>
    </r>
    <r>
      <rPr>
        <sz val="11"/>
        <color theme="1"/>
        <rFont val="Noto Sans CJK SC"/>
        <charset val="134"/>
      </rPr>
      <t>；优先于系统预置模板；预览时实时渲染效果</t>
    </r>
  </si>
  <si>
    <t>动态模板渲染，图片裁剪上传</t>
  </si>
  <si>
    <t>计划书版本管理</t>
  </si>
  <si>
    <r>
      <rPr>
        <sz val="11"/>
        <color theme="1"/>
        <rFont val="Noto Sans CJK SC"/>
        <charset val="134"/>
      </rPr>
      <t>同一客户支持生成多版本计划书（方案</t>
    </r>
    <r>
      <rPr>
        <sz val="11"/>
        <color theme="1"/>
        <rFont val="宋体"/>
        <charset val="134"/>
      </rPr>
      <t>A/B/C</t>
    </r>
    <r>
      <rPr>
        <sz val="11"/>
        <color theme="1"/>
        <rFont val="Noto Sans CJK SC"/>
        <charset val="134"/>
      </rPr>
      <t>对比）；列表按版本号展示；支持将任意版本标记为</t>
    </r>
    <r>
      <rPr>
        <sz val="11"/>
        <color theme="1"/>
        <rFont val="宋体"/>
        <charset val="134"/>
      </rPr>
      <t>"</t>
    </r>
    <r>
      <rPr>
        <sz val="11"/>
        <color theme="1"/>
        <rFont val="Noto Sans CJK SC"/>
        <charset val="134"/>
      </rPr>
      <t>当前推荐版本</t>
    </r>
    <r>
      <rPr>
        <sz val="11"/>
        <color theme="1"/>
        <rFont val="宋体"/>
        <charset val="134"/>
      </rPr>
      <t>"</t>
    </r>
    <r>
      <rPr>
        <sz val="11"/>
        <color theme="1"/>
        <rFont val="Noto Sans CJK SC"/>
        <charset val="134"/>
      </rPr>
      <t>；已过期方案（超</t>
    </r>
    <r>
      <rPr>
        <sz val="11"/>
        <color theme="1"/>
        <rFont val="宋体"/>
        <charset val="134"/>
      </rPr>
      <t>30</t>
    </r>
    <r>
      <rPr>
        <sz val="11"/>
        <color theme="1"/>
        <rFont val="Noto Sans CJK SC"/>
        <charset val="134"/>
      </rPr>
      <t>天未查看）自动存档；业务员可主动删除非当前版本；版本号规则：客户</t>
    </r>
    <r>
      <rPr>
        <sz val="11"/>
        <color theme="1"/>
        <rFont val="宋体"/>
        <charset val="134"/>
      </rPr>
      <t>ID+</t>
    </r>
    <r>
      <rPr>
        <sz val="11"/>
        <color theme="1"/>
        <rFont val="Noto Sans CJK SC"/>
        <charset val="134"/>
      </rPr>
      <t>序号</t>
    </r>
  </si>
  <si>
    <t>版本状态机管理</t>
  </si>
  <si>
    <t>计划书发送记录</t>
  </si>
  <si>
    <r>
      <rPr>
        <sz val="11"/>
        <color theme="1"/>
        <rFont val="Noto Sans CJK SC"/>
        <charset val="134"/>
      </rPr>
      <t>统一查看所有计划书的发送记录：客户</t>
    </r>
    <r>
      <rPr>
        <sz val="11"/>
        <color theme="1"/>
        <rFont val="宋体"/>
        <charset val="134"/>
      </rPr>
      <t>/</t>
    </r>
    <r>
      <rPr>
        <sz val="11"/>
        <color theme="1"/>
        <rFont val="Noto Sans CJK SC"/>
        <charset val="134"/>
      </rPr>
      <t>发送时间</t>
    </r>
    <r>
      <rPr>
        <sz val="11"/>
        <color theme="1"/>
        <rFont val="宋体"/>
        <charset val="134"/>
      </rPr>
      <t>/</t>
    </r>
    <r>
      <rPr>
        <sz val="11"/>
        <color theme="1"/>
        <rFont val="Noto Sans CJK SC"/>
        <charset val="134"/>
      </rPr>
      <t>查看次数</t>
    </r>
    <r>
      <rPr>
        <sz val="11"/>
        <color theme="1"/>
        <rFont val="宋体"/>
        <charset val="134"/>
      </rPr>
      <t>/</t>
    </r>
    <r>
      <rPr>
        <sz val="11"/>
        <color theme="1"/>
        <rFont val="Noto Sans CJK SC"/>
        <charset val="134"/>
      </rPr>
      <t>最后查看时间</t>
    </r>
    <r>
      <rPr>
        <sz val="11"/>
        <color theme="1"/>
        <rFont val="宋体"/>
        <charset val="134"/>
      </rPr>
      <t>/</t>
    </r>
    <r>
      <rPr>
        <sz val="11"/>
        <color theme="1"/>
        <rFont val="Noto Sans CJK SC"/>
        <charset val="134"/>
      </rPr>
      <t>是否转化（关联订单）；支持按客户</t>
    </r>
    <r>
      <rPr>
        <sz val="11"/>
        <color theme="1"/>
        <rFont val="宋体"/>
        <charset val="134"/>
      </rPr>
      <t>/</t>
    </r>
    <r>
      <rPr>
        <sz val="11"/>
        <color theme="1"/>
        <rFont val="Noto Sans CJK SC"/>
        <charset val="134"/>
      </rPr>
      <t>时间段</t>
    </r>
    <r>
      <rPr>
        <sz val="11"/>
        <color theme="1"/>
        <rFont val="宋体"/>
        <charset val="134"/>
      </rPr>
      <t>/</t>
    </r>
    <r>
      <rPr>
        <sz val="11"/>
        <color theme="1"/>
        <rFont val="Noto Sans CJK SC"/>
        <charset val="134"/>
      </rPr>
      <t>是否查看筛选；未查看超</t>
    </r>
    <r>
      <rPr>
        <sz val="11"/>
        <color theme="1"/>
        <rFont val="宋体"/>
        <charset val="134"/>
      </rPr>
      <t>3</t>
    </r>
    <r>
      <rPr>
        <sz val="11"/>
        <color theme="1"/>
        <rFont val="Noto Sans CJK SC"/>
        <charset val="134"/>
      </rPr>
      <t>天的计划书标红提示</t>
    </r>
    <r>
      <rPr>
        <sz val="11"/>
        <color theme="1"/>
        <rFont val="宋体"/>
        <charset val="134"/>
      </rPr>
      <t>"</t>
    </r>
    <r>
      <rPr>
        <sz val="11"/>
        <color theme="1"/>
        <rFont val="Noto Sans CJK SC"/>
        <charset val="134"/>
      </rPr>
      <t>需跟进</t>
    </r>
    <r>
      <rPr>
        <sz val="11"/>
        <color theme="1"/>
        <rFont val="宋体"/>
        <charset val="134"/>
      </rPr>
      <t>"</t>
    </r>
    <r>
      <rPr>
        <sz val="11"/>
        <color theme="1"/>
        <rFont val="Noto Sans CJK SC"/>
        <charset val="134"/>
      </rPr>
      <t>；支持一键重新发送（刷新</t>
    </r>
    <r>
      <rPr>
        <sz val="11"/>
        <color theme="1"/>
        <rFont val="宋体"/>
        <charset val="134"/>
      </rPr>
      <t>H5</t>
    </r>
    <r>
      <rPr>
        <sz val="11"/>
        <color theme="1"/>
        <rFont val="Noto Sans CJK SC"/>
        <charset val="134"/>
      </rPr>
      <t>链接有效期）</t>
    </r>
  </si>
  <si>
    <t>转化漏斗统计，状态监控提醒</t>
  </si>
  <si>
    <t>客户管理CRM</t>
  </si>
  <si>
    <t>客户列表</t>
  </si>
  <si>
    <t>分页展示业务员自己的客户（agent_id过滤）；搜索支持姓名/手机后4位/身份证后4位；手机搜索用mobile_hash字段匹配；筛选维度：客户标签/跟进状态(今日待跟进/超期未跟进)/客户分组/客户等级；超期未跟进客户红色显示下次跟进时间</t>
  </si>
  <si>
    <t>加密字段搜索方案</t>
  </si>
  <si>
    <t>客户详情</t>
  </si>
  <si>
    <t>多Tab：基本信息/跟进记录(时间轴)/保障清单(关联订单)/计划书记录/标签管理；跟进记录时间轴最新在上，超100字截断展开；基本信息脱敏展示手机/身份证</t>
  </si>
  <si>
    <t>数据聚合，多维度展示</t>
  </si>
  <si>
    <t>客户标签</t>
  </si>
  <si>
    <t>系统预置标签+业务员自定义标签；单客户打标签；长按客户卡片批量打标签（单次最多50个）；标签存JSON数组，追加时去重；DELETE /customer/{id}/tags和POST /customer/batch/tags接口</t>
  </si>
  <si>
    <t>JSON数组去重合并</t>
  </si>
  <si>
    <t>跟进记录</t>
  </si>
  <si>
    <t>底部浮动+按钮弹出半屏弹窗；字段：跟进方式(4类)/跟进时间(不得超过当前)/跟进内容(10-500字必填)/下次跟进时间(选填，须晚于跟进时间)/附件(图片最多9张&lt;5MB，文档&lt;10MB)；提交后更新ins_customer的last_follow_time和next_follow_time</t>
  </si>
  <si>
    <t>文件上传OSS</t>
  </si>
  <si>
    <t>跟进提醒</t>
  </si>
  <si>
    <t>定时任务每日8:55执行：查next_follow_time=今日的客户，按agent_id分组发App消息通知；超期提醒任务每日9:00：查超期未跟进客户，同一客户超期提醒每3天最多推1次（ins_remind_log防重）</t>
  </si>
  <si>
    <t>定时任务+防重推送</t>
  </si>
  <si>
    <t>客户导入</t>
  </si>
  <si>
    <r>
      <rPr>
        <sz val="11"/>
        <color theme="1"/>
        <rFont val="宋体"/>
        <charset val="134"/>
      </rPr>
      <t>Excel</t>
    </r>
    <r>
      <rPr>
        <sz val="11"/>
        <color theme="1"/>
        <rFont val="Noto Sans CJK SC"/>
        <charset val="134"/>
      </rPr>
      <t>模板下载；上传</t>
    </r>
    <r>
      <rPr>
        <sz val="11"/>
        <color theme="1"/>
        <rFont val="宋体"/>
        <charset val="134"/>
      </rPr>
      <t>.xlsx/.xls</t>
    </r>
    <r>
      <rPr>
        <sz val="11"/>
        <color theme="1"/>
        <rFont val="Noto Sans CJK SC"/>
        <charset val="134"/>
      </rPr>
      <t>（</t>
    </r>
    <r>
      <rPr>
        <sz val="11"/>
        <color theme="1"/>
        <rFont val="宋体"/>
        <charset val="134"/>
      </rPr>
      <t>&lt;10MB</t>
    </r>
    <r>
      <rPr>
        <sz val="11"/>
        <color theme="1"/>
        <rFont val="Noto Sans CJK SC"/>
        <charset val="134"/>
      </rPr>
      <t>）；后端解析预览：按行展示校验结果（手机格式错误</t>
    </r>
    <r>
      <rPr>
        <sz val="11"/>
        <color theme="1"/>
        <rFont val="宋体"/>
        <charset val="134"/>
      </rPr>
      <t>/</t>
    </r>
    <r>
      <rPr>
        <sz val="11"/>
        <color theme="1"/>
        <rFont val="Noto Sans CJK SC"/>
        <charset val="134"/>
      </rPr>
      <t>重复</t>
    </r>
    <r>
      <rPr>
        <sz val="11"/>
        <color theme="1"/>
        <rFont val="宋体"/>
        <charset val="134"/>
      </rPr>
      <t>/</t>
    </r>
    <r>
      <rPr>
        <sz val="11"/>
        <color theme="1"/>
        <rFont val="Noto Sans CJK SC"/>
        <charset val="134"/>
      </rPr>
      <t>出生日期格式）；业务员选择忽略错误行或取消；确认导入：批量插入（每次</t>
    </r>
    <r>
      <rPr>
        <sz val="11"/>
        <color theme="1"/>
        <rFont val="宋体"/>
        <charset val="134"/>
      </rPr>
      <t>500</t>
    </r>
    <r>
      <rPr>
        <sz val="11"/>
        <color theme="1"/>
        <rFont val="Noto Sans CJK SC"/>
        <charset val="134"/>
      </rPr>
      <t>条），手机号加密</t>
    </r>
    <r>
      <rPr>
        <sz val="11"/>
        <color theme="1"/>
        <rFont val="宋体"/>
        <charset val="134"/>
      </rPr>
      <t>+hash</t>
    </r>
    <r>
      <rPr>
        <sz val="11"/>
        <color theme="1"/>
        <rFont val="Noto Sans CJK SC"/>
        <charset val="134"/>
      </rPr>
      <t>处理，结果返回成功</t>
    </r>
    <r>
      <rPr>
        <sz val="11"/>
        <color theme="1"/>
        <rFont val="宋体"/>
        <charset val="134"/>
      </rPr>
      <t>N/</t>
    </r>
    <r>
      <rPr>
        <sz val="11"/>
        <color theme="1"/>
        <rFont val="Noto Sans CJK SC"/>
        <charset val="134"/>
      </rPr>
      <t>跳过</t>
    </r>
    <r>
      <rPr>
        <sz val="11"/>
        <color theme="1"/>
        <rFont val="宋体"/>
        <charset val="134"/>
      </rPr>
      <t>M/</t>
    </r>
    <r>
      <rPr>
        <sz val="11"/>
        <color theme="1"/>
        <rFont val="Noto Sans CJK SC"/>
        <charset val="134"/>
      </rPr>
      <t>失败</t>
    </r>
    <r>
      <rPr>
        <sz val="11"/>
        <color theme="1"/>
        <rFont val="宋体"/>
        <charset val="134"/>
      </rPr>
      <t>X</t>
    </r>
  </si>
  <si>
    <r>
      <rPr>
        <sz val="11"/>
        <color theme="1"/>
        <rFont val="宋体"/>
        <charset val="134"/>
      </rPr>
      <t>EasyExcel</t>
    </r>
    <r>
      <rPr>
        <sz val="11"/>
        <color theme="1"/>
        <rFont val="Noto Sans CJK SC"/>
        <charset val="134"/>
      </rPr>
      <t>，加密批量处理</t>
    </r>
  </si>
  <si>
    <t>客户分组</t>
  </si>
  <si>
    <t>业务员自建分组，最多20个；新增/重命名/删除（删分组不删客户）；客户详情编辑分组；列表多选后移入分组；ins_customer_group表存储，customer_count冗余字段</t>
  </si>
  <si>
    <t>客户保障分析</t>
  </si>
  <si>
    <r>
      <rPr>
        <sz val="11"/>
        <color theme="1"/>
        <rFont val="Noto Sans CJK SC"/>
        <charset val="134"/>
      </rPr>
      <t>客户详情页新增</t>
    </r>
    <r>
      <rPr>
        <sz val="11"/>
        <color theme="1"/>
        <rFont val="宋体"/>
        <charset val="134"/>
      </rPr>
      <t>"</t>
    </r>
    <r>
      <rPr>
        <sz val="11"/>
        <color theme="1"/>
        <rFont val="Noto Sans CJK SC"/>
        <charset val="134"/>
      </rPr>
      <t>保障缺口分析</t>
    </r>
    <r>
      <rPr>
        <sz val="11"/>
        <color theme="1"/>
        <rFont val="宋体"/>
        <charset val="134"/>
      </rPr>
      <t>"Tab</t>
    </r>
    <r>
      <rPr>
        <sz val="11"/>
        <color theme="1"/>
        <rFont val="Noto Sans CJK SC"/>
        <charset val="134"/>
      </rPr>
      <t>；可视化展示客户当前持有保单覆盖的保障维度（意外</t>
    </r>
    <r>
      <rPr>
        <sz val="11"/>
        <color theme="1"/>
        <rFont val="宋体"/>
        <charset val="134"/>
      </rPr>
      <t>/</t>
    </r>
    <r>
      <rPr>
        <sz val="11"/>
        <color theme="1"/>
        <rFont val="Noto Sans CJK SC"/>
        <charset val="134"/>
      </rPr>
      <t>重疾</t>
    </r>
    <r>
      <rPr>
        <sz val="11"/>
        <color theme="1"/>
        <rFont val="宋体"/>
        <charset val="134"/>
      </rPr>
      <t>/</t>
    </r>
    <r>
      <rPr>
        <sz val="11"/>
        <color theme="1"/>
        <rFont val="Noto Sans CJK SC"/>
        <charset val="134"/>
      </rPr>
      <t>医疗</t>
    </r>
    <r>
      <rPr>
        <sz val="11"/>
        <color theme="1"/>
        <rFont val="宋体"/>
        <charset val="134"/>
      </rPr>
      <t>/</t>
    </r>
    <r>
      <rPr>
        <sz val="11"/>
        <color theme="1"/>
        <rFont val="Noto Sans CJK SC"/>
        <charset val="134"/>
      </rPr>
      <t>寿险</t>
    </r>
    <r>
      <rPr>
        <sz val="11"/>
        <color theme="1"/>
        <rFont val="宋体"/>
        <charset val="134"/>
      </rPr>
      <t>/</t>
    </r>
    <r>
      <rPr>
        <sz val="11"/>
        <color theme="1"/>
        <rFont val="Noto Sans CJK SC"/>
        <charset val="134"/>
      </rPr>
      <t>年金）；标记已覆盖</t>
    </r>
    <r>
      <rPr>
        <sz val="11"/>
        <color theme="1"/>
        <rFont val="宋体"/>
        <charset val="134"/>
      </rPr>
      <t>(</t>
    </r>
    <r>
      <rPr>
        <sz val="11"/>
        <color theme="1"/>
        <rFont val="Noto Sans CJK SC"/>
        <charset val="134"/>
      </rPr>
      <t>绿</t>
    </r>
    <r>
      <rPr>
        <sz val="11"/>
        <color theme="1"/>
        <rFont val="宋体"/>
        <charset val="134"/>
      </rPr>
      <t>)/</t>
    </r>
    <r>
      <rPr>
        <sz val="11"/>
        <color theme="1"/>
        <rFont val="Noto Sans CJK SC"/>
        <charset val="134"/>
      </rPr>
      <t>未覆盖</t>
    </r>
    <r>
      <rPr>
        <sz val="11"/>
        <color theme="1"/>
        <rFont val="宋体"/>
        <charset val="134"/>
      </rPr>
      <t>(</t>
    </r>
    <r>
      <rPr>
        <sz val="11"/>
        <color theme="1"/>
        <rFont val="Noto Sans CJK SC"/>
        <charset val="134"/>
      </rPr>
      <t>红</t>
    </r>
    <r>
      <rPr>
        <sz val="11"/>
        <color theme="1"/>
        <rFont val="宋体"/>
        <charset val="134"/>
      </rPr>
      <t>)/</t>
    </r>
    <r>
      <rPr>
        <sz val="11"/>
        <color theme="1"/>
        <rFont val="Noto Sans CJK SC"/>
        <charset val="134"/>
      </rPr>
      <t>可加保</t>
    </r>
    <r>
      <rPr>
        <sz val="11"/>
        <color theme="1"/>
        <rFont val="宋体"/>
        <charset val="134"/>
      </rPr>
      <t>(</t>
    </r>
    <r>
      <rPr>
        <sz val="11"/>
        <color theme="1"/>
        <rFont val="Noto Sans CJK SC"/>
        <charset val="134"/>
      </rPr>
      <t>橙</t>
    </r>
    <r>
      <rPr>
        <sz val="11"/>
        <color theme="1"/>
        <rFont val="宋体"/>
        <charset val="134"/>
      </rPr>
      <t>)</t>
    </r>
    <r>
      <rPr>
        <sz val="11"/>
        <color theme="1"/>
        <rFont val="Noto Sans CJK SC"/>
        <charset val="134"/>
      </rPr>
      <t>；推荐适合填补缺口的在售产品（最多</t>
    </r>
    <r>
      <rPr>
        <sz val="11"/>
        <color theme="1"/>
        <rFont val="宋体"/>
        <charset val="134"/>
      </rPr>
      <t>3</t>
    </r>
    <r>
      <rPr>
        <sz val="11"/>
        <color theme="1"/>
        <rFont val="Noto Sans CJK SC"/>
        <charset val="134"/>
      </rPr>
      <t>条）；保障数据来源：关联订单（平台内）</t>
    </r>
    <r>
      <rPr>
        <sz val="11"/>
        <color theme="1"/>
        <rFont val="宋体"/>
        <charset val="134"/>
      </rPr>
      <t>+</t>
    </r>
    <r>
      <rPr>
        <sz val="11"/>
        <color theme="1"/>
        <rFont val="Noto Sans CJK SC"/>
        <charset val="134"/>
      </rPr>
      <t>手动录入（平台外）；支持导出保障清单</t>
    </r>
    <r>
      <rPr>
        <sz val="11"/>
        <color theme="1"/>
        <rFont val="宋体"/>
        <charset val="134"/>
      </rPr>
      <t>PDF</t>
    </r>
  </si>
  <si>
    <t>多维度保障可视化，缺口算法</t>
  </si>
  <si>
    <t>客户生命周期事件</t>
  </si>
  <si>
    <r>
      <rPr>
        <sz val="11"/>
        <color theme="1"/>
        <rFont val="Noto Sans CJK SC"/>
        <charset val="134"/>
      </rPr>
      <t>在客户档案中记录重要生命事件（结婚</t>
    </r>
    <r>
      <rPr>
        <sz val="11"/>
        <color theme="1"/>
        <rFont val="宋体"/>
        <charset val="134"/>
      </rPr>
      <t>/</t>
    </r>
    <r>
      <rPr>
        <sz val="11"/>
        <color theme="1"/>
        <rFont val="Noto Sans CJK SC"/>
        <charset val="134"/>
      </rPr>
      <t>生子</t>
    </r>
    <r>
      <rPr>
        <sz val="11"/>
        <color theme="1"/>
        <rFont val="宋体"/>
        <charset val="134"/>
      </rPr>
      <t>/</t>
    </r>
    <r>
      <rPr>
        <sz val="11"/>
        <color theme="1"/>
        <rFont val="Noto Sans CJK SC"/>
        <charset val="134"/>
      </rPr>
      <t>购房</t>
    </r>
    <r>
      <rPr>
        <sz val="11"/>
        <color theme="1"/>
        <rFont val="宋体"/>
        <charset val="134"/>
      </rPr>
      <t>/</t>
    </r>
    <r>
      <rPr>
        <sz val="11"/>
        <color theme="1"/>
        <rFont val="Noto Sans CJK SC"/>
        <charset val="134"/>
      </rPr>
      <t>退休</t>
    </r>
    <r>
      <rPr>
        <sz val="11"/>
        <color theme="1"/>
        <rFont val="宋体"/>
        <charset val="134"/>
      </rPr>
      <t>/</t>
    </r>
    <r>
      <rPr>
        <sz val="11"/>
        <color theme="1"/>
        <rFont val="Noto Sans CJK SC"/>
        <charset val="134"/>
      </rPr>
      <t>子女上学</t>
    </r>
    <r>
      <rPr>
        <sz val="11"/>
        <color theme="1"/>
        <rFont val="宋体"/>
        <charset val="134"/>
      </rPr>
      <t>/</t>
    </r>
    <r>
      <rPr>
        <sz val="11"/>
        <color theme="1"/>
        <rFont val="Noto Sans CJK SC"/>
        <charset val="134"/>
      </rPr>
      <t>大病等）；每类事件配置推荐险种标签；事件临近时（提前</t>
    </r>
    <r>
      <rPr>
        <sz val="11"/>
        <color theme="1"/>
        <rFont val="宋体"/>
        <charset val="134"/>
      </rPr>
      <t>30</t>
    </r>
    <r>
      <rPr>
        <sz val="11"/>
        <color theme="1"/>
        <rFont val="Noto Sans CJK SC"/>
        <charset val="134"/>
      </rPr>
      <t>天可配置）触发</t>
    </r>
    <r>
      <rPr>
        <sz val="11"/>
        <color theme="1"/>
        <rFont val="宋体"/>
        <charset val="134"/>
      </rPr>
      <t>App</t>
    </r>
    <r>
      <rPr>
        <sz val="11"/>
        <color theme="1"/>
        <rFont val="Noto Sans CJK SC"/>
        <charset val="134"/>
      </rPr>
      <t>提醒：建议业务员此时进行需求沟通；事件存</t>
    </r>
    <r>
      <rPr>
        <sz val="11"/>
        <color theme="1"/>
        <rFont val="宋体"/>
        <charset val="134"/>
      </rPr>
      <t>ins_customer_life_event</t>
    </r>
    <r>
      <rPr>
        <sz val="11"/>
        <color theme="1"/>
        <rFont val="Noto Sans CJK SC"/>
        <charset val="134"/>
      </rPr>
      <t>；节假日（生日</t>
    </r>
    <r>
      <rPr>
        <sz val="11"/>
        <color theme="1"/>
        <rFont val="宋体"/>
        <charset val="134"/>
      </rPr>
      <t>/</t>
    </r>
    <r>
      <rPr>
        <sz val="11"/>
        <color theme="1"/>
        <rFont val="Noto Sans CJK SC"/>
        <charset val="134"/>
      </rPr>
      <t>结婚纪念日）自动推送祝福提醒</t>
    </r>
  </si>
  <si>
    <t>生命事件驱动营销推荐</t>
  </si>
  <si>
    <t>客户画像标签智能打标</t>
  </si>
  <si>
    <r>
      <rPr>
        <sz val="11"/>
        <color theme="1"/>
        <rFont val="Noto Sans CJK SC"/>
        <charset val="134"/>
      </rPr>
      <t>系统根据客户投保行为自动推荐标签（如：连续</t>
    </r>
    <r>
      <rPr>
        <sz val="11"/>
        <color theme="1"/>
        <rFont val="宋体"/>
        <charset val="134"/>
      </rPr>
      <t>2</t>
    </r>
    <r>
      <rPr>
        <sz val="11"/>
        <color theme="1"/>
        <rFont val="Noto Sans CJK SC"/>
        <charset val="134"/>
      </rPr>
      <t>年续保→</t>
    </r>
    <r>
      <rPr>
        <sz val="11"/>
        <color theme="1"/>
        <rFont val="宋体"/>
        <charset val="134"/>
      </rPr>
      <t>"</t>
    </r>
    <r>
      <rPr>
        <sz val="11"/>
        <color theme="1"/>
        <rFont val="Noto Sans CJK SC"/>
        <charset val="134"/>
      </rPr>
      <t>忠实客户</t>
    </r>
    <r>
      <rPr>
        <sz val="11"/>
        <color theme="1"/>
        <rFont val="宋体"/>
        <charset val="134"/>
      </rPr>
      <t>"</t>
    </r>
    <r>
      <rPr>
        <sz val="11"/>
        <color theme="1"/>
        <rFont val="Noto Sans CJK SC"/>
        <charset val="134"/>
      </rPr>
      <t>；保费</t>
    </r>
    <r>
      <rPr>
        <sz val="11"/>
        <color theme="1"/>
        <rFont val="宋体"/>
        <charset val="134"/>
      </rPr>
      <t>&gt;1</t>
    </r>
    <r>
      <rPr>
        <sz val="11"/>
        <color theme="1"/>
        <rFont val="Noto Sans CJK SC"/>
        <charset val="134"/>
      </rPr>
      <t>万→</t>
    </r>
    <r>
      <rPr>
        <sz val="11"/>
        <color theme="1"/>
        <rFont val="宋体"/>
        <charset val="134"/>
      </rPr>
      <t>"</t>
    </r>
    <r>
      <rPr>
        <sz val="11"/>
        <color theme="1"/>
        <rFont val="Noto Sans CJK SC"/>
        <charset val="134"/>
      </rPr>
      <t>高净值</t>
    </r>
    <r>
      <rPr>
        <sz val="11"/>
        <color theme="1"/>
        <rFont val="宋体"/>
        <charset val="134"/>
      </rPr>
      <t>"</t>
    </r>
    <r>
      <rPr>
        <sz val="11"/>
        <color theme="1"/>
        <rFont val="Noto Sans CJK SC"/>
        <charset val="134"/>
      </rPr>
      <t>；拒绝过</t>
    </r>
    <r>
      <rPr>
        <sz val="11"/>
        <color theme="1"/>
        <rFont val="宋体"/>
        <charset val="134"/>
      </rPr>
      <t>3</t>
    </r>
    <r>
      <rPr>
        <sz val="11"/>
        <color theme="1"/>
        <rFont val="Noto Sans CJK SC"/>
        <charset val="134"/>
      </rPr>
      <t>次→</t>
    </r>
    <r>
      <rPr>
        <sz val="11"/>
        <color theme="1"/>
        <rFont val="宋体"/>
        <charset val="134"/>
      </rPr>
      <t>"</t>
    </r>
    <r>
      <rPr>
        <sz val="11"/>
        <color theme="1"/>
        <rFont val="Noto Sans CJK SC"/>
        <charset val="134"/>
      </rPr>
      <t>难跟进</t>
    </r>
    <r>
      <rPr>
        <sz val="11"/>
        <color theme="1"/>
        <rFont val="宋体"/>
        <charset val="134"/>
      </rPr>
      <t>"</t>
    </r>
    <r>
      <rPr>
        <sz val="11"/>
        <color theme="1"/>
        <rFont val="Noto Sans CJK SC"/>
        <charset val="134"/>
      </rPr>
      <t>）；推荐标签气泡提示，业务员点击确认或忽略；手动标签</t>
    </r>
    <r>
      <rPr>
        <sz val="11"/>
        <color theme="1"/>
        <rFont val="宋体"/>
        <charset val="134"/>
      </rPr>
      <t>+</t>
    </r>
    <r>
      <rPr>
        <sz val="11"/>
        <color theme="1"/>
        <rFont val="Noto Sans CJK SC"/>
        <charset val="134"/>
      </rPr>
      <t>智能推荐标签分区展示；标签统计分析可在</t>
    </r>
    <r>
      <rPr>
        <sz val="11"/>
        <color theme="1"/>
        <rFont val="宋体"/>
        <charset val="134"/>
      </rPr>
      <t>PC</t>
    </r>
    <r>
      <rPr>
        <sz val="11"/>
        <color theme="1"/>
        <rFont val="Noto Sans CJK SC"/>
        <charset val="134"/>
      </rPr>
      <t>后台查看</t>
    </r>
  </si>
  <si>
    <t>规则引擎自动打标，标签推荐</t>
  </si>
  <si>
    <t>客户转介绍管理</t>
  </si>
  <si>
    <r>
      <rPr>
        <sz val="11"/>
        <color theme="1"/>
        <rFont val="Noto Sans CJK SC"/>
        <charset val="134"/>
      </rPr>
      <t>记录客户介绍新客户的关系链（被介绍人绑定来源客户）；在客户详情展示</t>
    </r>
    <r>
      <rPr>
        <sz val="11"/>
        <color theme="1"/>
        <rFont val="宋体"/>
        <charset val="134"/>
      </rPr>
      <t>"</t>
    </r>
    <r>
      <rPr>
        <sz val="11"/>
        <color theme="1"/>
        <rFont val="Noto Sans CJK SC"/>
        <charset val="134"/>
      </rPr>
      <t>我介绍的客户</t>
    </r>
    <r>
      <rPr>
        <sz val="11"/>
        <color theme="1"/>
        <rFont val="宋体"/>
        <charset val="134"/>
      </rPr>
      <t>"</t>
    </r>
    <r>
      <rPr>
        <sz val="11"/>
        <color theme="1"/>
        <rFont val="Noto Sans CJK SC"/>
        <charset val="134"/>
      </rPr>
      <t>列表；累计转介绍数量展示；转介绍成功（新客户成交后）触发感谢通知（发短信给介绍人）；统计每个客户的转介绍贡献值（影响客户等级评分）；</t>
    </r>
    <r>
      <rPr>
        <sz val="11"/>
        <color theme="1"/>
        <rFont val="宋体"/>
        <charset val="134"/>
      </rPr>
      <t>ins_customer_referral</t>
    </r>
    <r>
      <rPr>
        <sz val="11"/>
        <color theme="1"/>
        <rFont val="Noto Sans CJK SC"/>
        <charset val="134"/>
      </rPr>
      <t>表记录</t>
    </r>
  </si>
  <si>
    <t>关系链追踪，转化事件触发</t>
  </si>
  <si>
    <t>订单管理</t>
  </si>
  <si>
    <t>订单列表</t>
  </si>
  <si>
    <t>状态Tab：全部/待支付/核保中/已承保/已取消/核保拒绝；仅展示当前业务员订单；卡片显示产品名/被保人/保额/保费/状态/下单时间；按create_time倒序；状态不同展示不同操作按钮</t>
  </si>
  <si>
    <t>订单详情</t>
  </si>
  <si>
    <t>状态流转进度条（下单→支付→核保→承保），节点时间从ins_order_log读取；展示投保人/被保人/保额/保费/保单号/生效日期；佣金信息区（仅业务员可见）；操作按钮按状态显示（催单/取消/查看保单/查看拒绝原因）</t>
  </si>
  <si>
    <t>多表关联聚合</t>
  </si>
  <si>
    <t>订单搜索</t>
  </si>
  <si>
    <t>搜索框防抖500ms触发；输入完整订单号精确匹配order_no；输入姓名模糊匹配关联客户name字段</t>
  </si>
  <si>
    <t>订单催单</t>
  </si>
  <si>
    <t>仅待支付订单可催单；弹Dialog确认；同一订单同一天最多催单2次（查ins_order_log限制，超限按钮置灰）；后端解密手机号发送短信模板；插入催单日志记录</t>
  </si>
  <si>
    <t>次数限制，短信发送</t>
  </si>
  <si>
    <t>订单取消</t>
  </si>
  <si>
    <t>仅待支付(status=1)订单可取消；弹Dialog输入取消原因；后端更新status=4+cancel_reason+cancel_time；插入取消日志；关联佣金记录设为无效(invalid=1)</t>
  </si>
  <si>
    <t>状态校验，佣金联动</t>
  </si>
  <si>
    <t>非车险投保录单</t>
  </si>
  <si>
    <r>
      <rPr>
        <sz val="11"/>
        <color theme="1"/>
        <rFont val="宋体"/>
        <charset val="134"/>
      </rPr>
      <t>App</t>
    </r>
    <r>
      <rPr>
        <sz val="11"/>
        <color theme="1"/>
        <rFont val="Noto Sans CJK SC"/>
        <charset val="134"/>
      </rPr>
      <t>端录入非车险保单（财产险</t>
    </r>
    <r>
      <rPr>
        <sz val="11"/>
        <color theme="1"/>
        <rFont val="宋体"/>
        <charset val="134"/>
      </rPr>
      <t>/</t>
    </r>
    <r>
      <rPr>
        <sz val="11"/>
        <color theme="1"/>
        <rFont val="Noto Sans CJK SC"/>
        <charset val="134"/>
      </rPr>
      <t>责任险</t>
    </r>
    <r>
      <rPr>
        <sz val="11"/>
        <color theme="1"/>
        <rFont val="宋体"/>
        <charset val="134"/>
      </rPr>
      <t>/</t>
    </r>
    <r>
      <rPr>
        <sz val="11"/>
        <color theme="1"/>
        <rFont val="Noto Sans CJK SC"/>
        <charset val="134"/>
      </rPr>
      <t>工程险等）：选险种分类→选保险公司→填写标的信息（因险种差异化，动态表单渲染）→上传附件→提交审核；支持暂存草稿（</t>
    </r>
    <r>
      <rPr>
        <sz val="11"/>
        <color theme="1"/>
        <rFont val="宋体"/>
        <charset val="134"/>
      </rPr>
      <t>ins_noncar_order_draft</t>
    </r>
    <r>
      <rPr>
        <sz val="11"/>
        <color theme="1"/>
        <rFont val="Noto Sans CJK SC"/>
        <charset val="134"/>
      </rPr>
      <t>）；</t>
    </r>
    <r>
      <rPr>
        <sz val="11"/>
        <color theme="1"/>
        <rFont val="宋体"/>
        <charset val="134"/>
      </rPr>
      <t>OCR</t>
    </r>
    <r>
      <rPr>
        <sz val="11"/>
        <color theme="1"/>
        <rFont val="Noto Sans CJK SC"/>
        <charset val="134"/>
      </rPr>
      <t>识别营业执照</t>
    </r>
    <r>
      <rPr>
        <sz val="11"/>
        <color theme="1"/>
        <rFont val="宋体"/>
        <charset val="134"/>
      </rPr>
      <t>/</t>
    </r>
    <r>
      <rPr>
        <sz val="11"/>
        <color theme="1"/>
        <rFont val="Noto Sans CJK SC"/>
        <charset val="134"/>
      </rPr>
      <t>合同等企业资料辅助填写；提交后触发佣金预估</t>
    </r>
  </si>
  <si>
    <r>
      <rPr>
        <sz val="11"/>
        <color theme="1"/>
        <rFont val="Noto Sans CJK SC"/>
        <charset val="134"/>
      </rPr>
      <t>动态表单险种适配，企业</t>
    </r>
    <r>
      <rPr>
        <sz val="11"/>
        <color theme="1"/>
        <rFont val="宋体"/>
        <charset val="134"/>
      </rPr>
      <t>OCR</t>
    </r>
    <r>
      <rPr>
        <sz val="11"/>
        <color theme="1"/>
        <rFont val="Noto Sans CJK SC"/>
        <charset val="134"/>
      </rPr>
      <t>识别</t>
    </r>
  </si>
  <si>
    <t>订单批量操作</t>
  </si>
  <si>
    <r>
      <rPr>
        <sz val="11"/>
        <color theme="1"/>
        <rFont val="Noto Sans CJK SC"/>
        <charset val="134"/>
      </rPr>
      <t>订单列表支持多选（最多</t>
    </r>
    <r>
      <rPr>
        <sz val="11"/>
        <color theme="1"/>
        <rFont val="宋体"/>
        <charset val="134"/>
      </rPr>
      <t>50</t>
    </r>
    <r>
      <rPr>
        <sz val="11"/>
        <color theme="1"/>
        <rFont val="Noto Sans CJK SC"/>
        <charset val="134"/>
      </rPr>
      <t>条）批量操作：批量催单（待支付状态）</t>
    </r>
    <r>
      <rPr>
        <sz val="11"/>
        <color theme="1"/>
        <rFont val="宋体"/>
        <charset val="134"/>
      </rPr>
      <t>/</t>
    </r>
    <r>
      <rPr>
        <sz val="11"/>
        <color theme="1"/>
        <rFont val="Noto Sans CJK SC"/>
        <charset val="134"/>
      </rPr>
      <t>批量导出（</t>
    </r>
    <r>
      <rPr>
        <sz val="11"/>
        <color theme="1"/>
        <rFont val="宋体"/>
        <charset val="134"/>
      </rPr>
      <t>Excel</t>
    </r>
    <r>
      <rPr>
        <sz val="11"/>
        <color theme="1"/>
        <rFont val="Noto Sans CJK SC"/>
        <charset val="134"/>
      </rPr>
      <t>含核心字段）</t>
    </r>
    <r>
      <rPr>
        <sz val="11"/>
        <color theme="1"/>
        <rFont val="宋体"/>
        <charset val="134"/>
      </rPr>
      <t>/</t>
    </r>
    <r>
      <rPr>
        <sz val="11"/>
        <color theme="1"/>
        <rFont val="Noto Sans CJK SC"/>
        <charset val="134"/>
      </rPr>
      <t>批量查看状态；批量导出后端使用</t>
    </r>
    <r>
      <rPr>
        <sz val="11"/>
        <color theme="1"/>
        <rFont val="宋体"/>
        <charset val="134"/>
      </rPr>
      <t>EasyExcel</t>
    </r>
    <r>
      <rPr>
        <sz val="11"/>
        <color theme="1"/>
        <rFont val="Noto Sans CJK SC"/>
        <charset val="134"/>
      </rPr>
      <t>异步生成（超</t>
    </r>
    <r>
      <rPr>
        <sz val="11"/>
        <color theme="1"/>
        <rFont val="宋体"/>
        <charset val="134"/>
      </rPr>
      <t>20</t>
    </r>
    <r>
      <rPr>
        <sz val="11"/>
        <color theme="1"/>
        <rFont val="Noto Sans CJK SC"/>
        <charset val="134"/>
      </rPr>
      <t>条</t>
    </r>
    <r>
      <rPr>
        <sz val="11"/>
        <color theme="1"/>
        <rFont val="宋体"/>
        <charset val="134"/>
      </rPr>
      <t>MQ</t>
    </r>
    <r>
      <rPr>
        <sz val="11"/>
        <color theme="1"/>
        <rFont val="Noto Sans CJK SC"/>
        <charset val="134"/>
      </rPr>
      <t>异步），前端轮询下载链接；批量操作结果展示成功</t>
    </r>
    <r>
      <rPr>
        <sz val="11"/>
        <color theme="1"/>
        <rFont val="宋体"/>
        <charset val="134"/>
      </rPr>
      <t>/</t>
    </r>
    <r>
      <rPr>
        <sz val="11"/>
        <color theme="1"/>
        <rFont val="Noto Sans CJK SC"/>
        <charset val="134"/>
      </rPr>
      <t>失败明细</t>
    </r>
  </si>
  <si>
    <r>
      <rPr>
        <sz val="11"/>
        <color theme="1"/>
        <rFont val="宋体"/>
        <charset val="134"/>
      </rPr>
      <t>EasyExcel</t>
    </r>
    <r>
      <rPr>
        <sz val="11"/>
        <color theme="1"/>
        <rFont val="Noto Sans CJK SC"/>
        <charset val="134"/>
      </rPr>
      <t>异步导出，批量操作结果</t>
    </r>
  </si>
  <si>
    <t>业绩统计</t>
  </si>
  <si>
    <t>业绩看板</t>
  </si>
  <si>
    <t>时间维度切换：今日/本月/今年/累计；4个核心指标卡：保费规模/佣金收入/成交件数/新增客户；每个指标显示同比增长率（与上一相同周期对比）；本月维度额外显示目标完成进度条（从ins_agent_target读取目标值）</t>
  </si>
  <si>
    <t>同比计算，多维度聚合</t>
  </si>
  <si>
    <t>业绩明细</t>
  </si>
  <si>
    <t>年月筛选+险种分类筛选；列表显示产品名/客户名/保额/保费/承保日期/预计佣金；按承保日期倒序；列表底部展示合计行（保费合计/佣金合计/件数）</t>
  </si>
  <si>
    <t>业绩趋势</t>
  </si>
  <si>
    <t>时间范围切换：近7天/近30天/近12月；按日或月聚合保费(柱状图)和佣金(折线图)双Y轴图表；无数据日期补0值保证折线连续；点击数据点底部显示明细数据</t>
  </si>
  <si>
    <r>
      <rPr>
        <sz val="11"/>
        <color theme="1"/>
        <rFont val="宋体"/>
        <charset val="134"/>
      </rPr>
      <t>ECharts</t>
    </r>
    <r>
      <rPr>
        <sz val="11"/>
        <color theme="1"/>
        <rFont val="Noto Sans CJK SC"/>
        <charset val="134"/>
      </rPr>
      <t>双</t>
    </r>
    <r>
      <rPr>
        <sz val="11"/>
        <color theme="1"/>
        <rFont val="宋体"/>
        <charset val="134"/>
      </rPr>
      <t>Y</t>
    </r>
    <r>
      <rPr>
        <sz val="11"/>
        <color theme="1"/>
        <rFont val="Noto Sans CJK SC"/>
        <charset val="134"/>
      </rPr>
      <t>轴</t>
    </r>
  </si>
  <si>
    <t>险种分布</t>
  </si>
  <si>
    <t>饼图展示各险种保费占比（重疾/医疗/意外/年金/寿险）；图例含金额+百分比；与看板维度切换联动（本月/今年等）</t>
  </si>
  <si>
    <t>目标设置与进度</t>
  </si>
  <si>
    <r>
      <rPr>
        <sz val="11"/>
        <color theme="1"/>
        <rFont val="Noto Sans CJK SC"/>
        <charset val="134"/>
      </rPr>
      <t>业务员可在</t>
    </r>
    <r>
      <rPr>
        <sz val="11"/>
        <color theme="1"/>
        <rFont val="宋体"/>
        <charset val="134"/>
      </rPr>
      <t>App</t>
    </r>
    <r>
      <rPr>
        <sz val="11"/>
        <color theme="1"/>
        <rFont val="Noto Sans CJK SC"/>
        <charset val="134"/>
      </rPr>
      <t>设置本月</t>
    </r>
    <r>
      <rPr>
        <sz val="11"/>
        <color theme="1"/>
        <rFont val="宋体"/>
        <charset val="134"/>
      </rPr>
      <t>/</t>
    </r>
    <r>
      <rPr>
        <sz val="11"/>
        <color theme="1"/>
        <rFont val="Noto Sans CJK SC"/>
        <charset val="134"/>
      </rPr>
      <t>本季</t>
    </r>
    <r>
      <rPr>
        <sz val="11"/>
        <color theme="1"/>
        <rFont val="宋体"/>
        <charset val="134"/>
      </rPr>
      <t>/</t>
    </r>
    <r>
      <rPr>
        <sz val="11"/>
        <color theme="1"/>
        <rFont val="Noto Sans CJK SC"/>
        <charset val="134"/>
      </rPr>
      <t>本年业绩目标（保费</t>
    </r>
    <r>
      <rPr>
        <sz val="11"/>
        <color theme="1"/>
        <rFont val="宋体"/>
        <charset val="134"/>
      </rPr>
      <t>/</t>
    </r>
    <r>
      <rPr>
        <sz val="11"/>
        <color theme="1"/>
        <rFont val="Noto Sans CJK SC"/>
        <charset val="134"/>
      </rPr>
      <t>件数</t>
    </r>
    <r>
      <rPr>
        <sz val="11"/>
        <color theme="1"/>
        <rFont val="宋体"/>
        <charset val="134"/>
      </rPr>
      <t>/</t>
    </r>
    <r>
      <rPr>
        <sz val="11"/>
        <color theme="1"/>
        <rFont val="Noto Sans CJK SC"/>
        <charset val="134"/>
      </rPr>
      <t>新增客户</t>
    </r>
    <r>
      <rPr>
        <sz val="11"/>
        <color theme="1"/>
        <rFont val="宋体"/>
        <charset val="134"/>
      </rPr>
      <t>3</t>
    </r>
    <r>
      <rPr>
        <sz val="11"/>
        <color theme="1"/>
        <rFont val="Noto Sans CJK SC"/>
        <charset val="134"/>
      </rPr>
      <t>个维度）；目标设置后在业绩看板展示进度条及完成百分比；系统每日凌晨更新进度；距月末</t>
    </r>
    <r>
      <rPr>
        <sz val="11"/>
        <color theme="1"/>
        <rFont val="宋体"/>
        <charset val="134"/>
      </rPr>
      <t>5</t>
    </r>
    <r>
      <rPr>
        <sz val="11"/>
        <color theme="1"/>
        <rFont val="Noto Sans CJK SC"/>
        <charset val="134"/>
      </rPr>
      <t>天且完成率</t>
    </r>
    <r>
      <rPr>
        <sz val="11"/>
        <color theme="1"/>
        <rFont val="宋体"/>
        <charset val="134"/>
      </rPr>
      <t>&lt;80%</t>
    </r>
    <r>
      <rPr>
        <sz val="11"/>
        <color theme="1"/>
        <rFont val="Noto Sans CJK SC"/>
        <charset val="134"/>
      </rPr>
      <t>时触发</t>
    </r>
    <r>
      <rPr>
        <sz val="11"/>
        <color theme="1"/>
        <rFont val="宋体"/>
        <charset val="134"/>
      </rPr>
      <t>App</t>
    </r>
    <r>
      <rPr>
        <sz val="11"/>
        <color theme="1"/>
        <rFont val="Noto Sans CJK SC"/>
        <charset val="134"/>
      </rPr>
      <t>提醒；目标存</t>
    </r>
    <r>
      <rPr>
        <sz val="11"/>
        <color theme="1"/>
        <rFont val="宋体"/>
        <charset val="134"/>
      </rPr>
      <t>ins_agent_target</t>
    </r>
    <r>
      <rPr>
        <sz val="11"/>
        <color theme="1"/>
        <rFont val="Noto Sans CJK SC"/>
        <charset val="134"/>
      </rPr>
      <t>（与</t>
    </r>
    <r>
      <rPr>
        <sz val="11"/>
        <color theme="1"/>
        <rFont val="宋体"/>
        <charset val="134"/>
      </rPr>
      <t>PC</t>
    </r>
    <r>
      <rPr>
        <sz val="11"/>
        <color theme="1"/>
        <rFont val="Noto Sans CJK SC"/>
        <charset val="134"/>
      </rPr>
      <t>端共享数据）</t>
    </r>
  </si>
  <si>
    <t>目标进度计算，预警推送</t>
  </si>
  <si>
    <t>同期对比分析</t>
  </si>
  <si>
    <r>
      <rPr>
        <sz val="11"/>
        <color theme="1"/>
        <rFont val="Noto Sans CJK SC"/>
        <charset val="134"/>
      </rPr>
      <t xml:space="preserve">业绩详情页新增横向对比功能：本人 </t>
    </r>
    <r>
      <rPr>
        <sz val="11"/>
        <color theme="1"/>
        <rFont val="宋体"/>
        <charset val="134"/>
      </rPr>
      <t xml:space="preserve">vs </t>
    </r>
    <r>
      <rPr>
        <sz val="11"/>
        <color theme="1"/>
        <rFont val="Noto Sans CJK SC"/>
        <charset val="134"/>
      </rPr>
      <t xml:space="preserve">团队平均 </t>
    </r>
    <r>
      <rPr>
        <sz val="11"/>
        <color theme="1"/>
        <rFont val="宋体"/>
        <charset val="134"/>
      </rPr>
      <t xml:space="preserve">vs </t>
    </r>
    <r>
      <rPr>
        <sz val="11"/>
        <color theme="1"/>
        <rFont val="Noto Sans CJK SC"/>
        <charset val="134"/>
      </rPr>
      <t>公司</t>
    </r>
    <r>
      <rPr>
        <sz val="11"/>
        <color theme="1"/>
        <rFont val="宋体"/>
        <charset val="134"/>
      </rPr>
      <t>Top10</t>
    </r>
    <r>
      <rPr>
        <sz val="11"/>
        <color theme="1"/>
        <rFont val="Noto Sans CJK SC"/>
        <charset val="134"/>
      </rPr>
      <t>平均（脱敏匿名显示）；维度：保费</t>
    </r>
    <r>
      <rPr>
        <sz val="11"/>
        <color theme="1"/>
        <rFont val="宋体"/>
        <charset val="134"/>
      </rPr>
      <t>/</t>
    </r>
    <r>
      <rPr>
        <sz val="11"/>
        <color theme="1"/>
        <rFont val="Noto Sans CJK SC"/>
        <charset val="134"/>
      </rPr>
      <t>件数</t>
    </r>
    <r>
      <rPr>
        <sz val="11"/>
        <color theme="1"/>
        <rFont val="宋体"/>
        <charset val="134"/>
      </rPr>
      <t>/</t>
    </r>
    <r>
      <rPr>
        <sz val="11"/>
        <color theme="1"/>
        <rFont val="Noto Sans CJK SC"/>
        <charset val="134"/>
      </rPr>
      <t>客户数；对比图表使用</t>
    </r>
    <r>
      <rPr>
        <sz val="11"/>
        <color theme="1"/>
        <rFont val="宋体"/>
        <charset val="134"/>
      </rPr>
      <t>ECharts</t>
    </r>
    <r>
      <rPr>
        <sz val="11"/>
        <color theme="1"/>
        <rFont val="Noto Sans CJK SC"/>
        <charset val="134"/>
      </rPr>
      <t>雷达图；同期数据从</t>
    </r>
    <r>
      <rPr>
        <sz val="11"/>
        <color theme="1"/>
        <rFont val="宋体"/>
        <charset val="134"/>
      </rPr>
      <t>team_performance</t>
    </r>
    <r>
      <rPr>
        <sz val="11"/>
        <color theme="1"/>
        <rFont val="Noto Sans CJK SC"/>
        <charset val="134"/>
      </rPr>
      <t>聚合计算；可切换对比对象（所在小组</t>
    </r>
    <r>
      <rPr>
        <sz val="11"/>
        <color theme="1"/>
        <rFont val="宋体"/>
        <charset val="134"/>
      </rPr>
      <t>/</t>
    </r>
    <r>
      <rPr>
        <sz val="11"/>
        <color theme="1"/>
        <rFont val="Noto Sans CJK SC"/>
        <charset val="134"/>
      </rPr>
      <t>所在大区）；不展示具体他人数据，只展示统计均值</t>
    </r>
  </si>
  <si>
    <t>多维对比聚合，匿名均值计算</t>
  </si>
  <si>
    <t>佣金管理</t>
  </si>
  <si>
    <t>佣金总览</t>
  </si>
  <si>
    <t>顶部大卡片展示：可提现金额(已结算合计)/本月预计佣金(待结算合计)/累计已提现；状态Tab切换：待结算/已结算/提现中/已提现/已无效；【立即提现】按钮</t>
  </si>
  <si>
    <t>佣金明细</t>
  </si>
  <si>
    <t>年月筛选+状态筛选；列表显示产品名/客户名/订单号(可跳转)/佣金金额/佣金类型(首年/续年)/状态/结算时间；待结算显示预计结算规则（承保后30天）；按结算时间倒序</t>
  </si>
  <si>
    <t>佣金提现</t>
  </si>
  <si>
    <t>提现字段：金额(最小100元，最大50000元，不超可提现余额)/银行名称/银行卡号(16-19位，Luhn校验)/开户姓名(须与实名认证一致)；提交时发送短信验证码确认(TTL 5分钟)；后端加分布式锁防并发；FIFO选取已结算佣金关联提现记录；银行卡号AES加密存储；每月最多提现5次；单日超20万触发风控审核</t>
  </si>
  <si>
    <t>分布式锁防并发，FIFO佣金选取</t>
  </si>
  <si>
    <t>提现记录</t>
  </si>
  <si>
    <t>列表显示提现金额/收款卡号后4位/申请时间/状态/到账时间；已拒绝展示原因；提现被拒绝时对应佣金自动恢复为已结算状态</t>
  </si>
  <si>
    <t>拒绝回滚逻辑</t>
  </si>
  <si>
    <t>【新增】佣金账单</t>
  </si>
  <si>
    <r>
      <rPr>
        <sz val="11"/>
        <color theme="1"/>
        <rFont val="Noto Sans CJK SC"/>
        <charset val="134"/>
      </rPr>
      <t>月度账单</t>
    </r>
    <r>
      <rPr>
        <sz val="11"/>
        <color theme="1"/>
        <rFont val="宋体"/>
        <charset val="134"/>
      </rPr>
      <t>PDF</t>
    </r>
    <r>
      <rPr>
        <sz val="11"/>
        <color theme="1"/>
        <rFont val="Noto Sans CJK SC"/>
        <charset val="134"/>
      </rPr>
      <t>生成：包含当月已结算佣金明细、按险种汇总、提现记录、月底余额；</t>
    </r>
    <r>
      <rPr>
        <sz val="11"/>
        <color theme="1"/>
        <rFont val="宋体"/>
        <charset val="134"/>
      </rPr>
      <t>PDF</t>
    </r>
    <r>
      <rPr>
        <sz val="11"/>
        <color theme="1"/>
        <rFont val="Noto Sans CJK SC"/>
        <charset val="134"/>
      </rPr>
      <t>模板含公司抬头；支持下载和分享；账单在次月</t>
    </r>
    <r>
      <rPr>
        <sz val="11"/>
        <color theme="1"/>
        <rFont val="宋体"/>
        <charset val="134"/>
      </rPr>
      <t>5</t>
    </r>
    <r>
      <rPr>
        <sz val="11"/>
        <color theme="1"/>
        <rFont val="Noto Sans CJK SC"/>
        <charset val="134"/>
      </rPr>
      <t>日自动生成并推送通知；历史账单按月归档（最多</t>
    </r>
    <r>
      <rPr>
        <sz val="11"/>
        <color theme="1"/>
        <rFont val="宋体"/>
        <charset val="134"/>
      </rPr>
      <t>24</t>
    </r>
    <r>
      <rPr>
        <sz val="11"/>
        <color theme="1"/>
        <rFont val="Noto Sans CJK SC"/>
        <charset val="134"/>
      </rPr>
      <t>个月）；</t>
    </r>
    <r>
      <rPr>
        <sz val="11"/>
        <color theme="1"/>
        <rFont val="宋体"/>
        <charset val="134"/>
      </rPr>
      <t>ins_commission_bill_record</t>
    </r>
    <r>
      <rPr>
        <sz val="11"/>
        <color theme="1"/>
        <rFont val="Noto Sans CJK SC"/>
        <charset val="134"/>
      </rPr>
      <t>记录生成状态</t>
    </r>
  </si>
  <si>
    <r>
      <rPr>
        <sz val="11"/>
        <color theme="1"/>
        <rFont val="Noto Sans CJK SC"/>
        <charset val="134"/>
      </rPr>
      <t>月度账单</t>
    </r>
    <r>
      <rPr>
        <sz val="11"/>
        <color theme="1"/>
        <rFont val="宋体"/>
        <charset val="134"/>
      </rPr>
      <t>PDF</t>
    </r>
    <r>
      <rPr>
        <sz val="11"/>
        <color theme="1"/>
        <rFont val="Noto Sans CJK SC"/>
        <charset val="134"/>
      </rPr>
      <t>自动生成，归档</t>
    </r>
  </si>
  <si>
    <t>【新增】佣金税务信息</t>
  </si>
  <si>
    <r>
      <rPr>
        <sz val="11"/>
        <color theme="1"/>
        <rFont val="Noto Sans CJK SC"/>
        <charset val="134"/>
      </rPr>
      <t>展示业务员税务信息：本年度累计佣金收入、预扣税率（按个税代扣规则）、已代扣税额；提醒业务员关注个税申报时间节点；显示公司财务联系方式；敏感信息（如累计金额）需人脸识别二次验证后展示；数据从</t>
    </r>
    <r>
      <rPr>
        <sz val="11"/>
        <color theme="1"/>
        <rFont val="宋体"/>
        <charset val="134"/>
      </rPr>
      <t>ins_commission_tax_record</t>
    </r>
    <r>
      <rPr>
        <sz val="11"/>
        <color theme="1"/>
        <rFont val="Noto Sans CJK SC"/>
        <charset val="134"/>
      </rPr>
      <t>读取（</t>
    </r>
    <r>
      <rPr>
        <sz val="11"/>
        <color theme="1"/>
        <rFont val="宋体"/>
        <charset val="134"/>
      </rPr>
      <t>PC</t>
    </r>
    <r>
      <rPr>
        <sz val="11"/>
        <color theme="1"/>
        <rFont val="Noto Sans CJK SC"/>
        <charset val="134"/>
      </rPr>
      <t>财务端维护）</t>
    </r>
  </si>
  <si>
    <t>人脸二次认证，税务数据权限</t>
  </si>
  <si>
    <t>基本法配置</t>
  </si>
  <si>
    <t>职级体系管理</t>
  </si>
  <si>
    <t>左树右表布局，CRUD职级（代码、名称、层级、上级职级）。新增校验：代码唯一、上级层级必须低于当前层级；停用前检查是否有在职员工绑定；删除前检查子级；所有变更写commission_rate_history历史表</t>
  </si>
  <si>
    <t>1</t>
  </si>
  <si>
    <t>树形结构，唯一索引uk_rank_code；停用前校验业务员绑定</t>
  </si>
  <si>
    <t>晋升规则配置</t>
  </si>
  <si>
    <t>配置「当前职级→目标职级」的晋升条件（FYP下限、件数、团队人力、考核月数）。每月1号凌晨定时任务自动评估所有业务员，满足条件生成待审批晋升申请，审批通过后次月1号生效。promotion_rules以JSON存入sys_agent_rank</t>
  </si>
  <si>
    <t>1.5</t>
  </si>
  <si>
    <t>定时任务两个：凌晨1点评估+凌晨2点生效；防重复评估幂等控制</t>
  </si>
  <si>
    <t>佣金比例配置（FYC/RYC）</t>
  </si>
  <si>
    <t>按险种Tab展示各职级费率表格。编辑弹窗：首年佣金率、监管上限、续期佣金率、生效日期、变更原因（必填）。后端校验：commission_rate≤regulatory_max_rate；变更记录写commission_rate_history；新费率仅对生效日期后新佣金有效</t>
  </si>
  <si>
    <t>合规校验报行合一；rate_config存JSON；历史版本diff对比展示</t>
  </si>
  <si>
    <t>津贴配置（管理津贴/育成奖/伯乐奖）</t>
  </si>
  <si>
    <t>管理津贴：分层级配置上级对下级佣金的提取比例，支持2级以上（override_hierarchy JSON数组）；育成奖：配置培育出新主管时的一次性奖励；伯乐奖：新人入职N月内完成FYP触发。均作为commission_base_rule记录（type=OVERRIDE/BONUS）</t>
  </si>
  <si>
    <t>分润逻辑需递归上级链条（最多5级），每层有最低激活FYP门槛控制</t>
  </si>
  <si>
    <t>奖励规则（季度奖/年度奖）</t>
  </si>
  <si>
    <t>阶梯式奖励：配置FYP档位→奖金金额映射（bronze/silver/gold）。rate_config存bonus_tiers JSON数组。每季/年度结束后定时任务统计业务员业绩，匹配档位生成commission_record(type=BONUS)，进入正常审核发放流程</t>
  </si>
  <si>
    <t>阶梯档位动态增减行；定时任务季度触发@Scheduled(cron=0 0 5 1 1,4,7,10 ?)</t>
  </si>
  <si>
    <t>佣金计算引擎</t>
  </si>
  <si>
    <t>佣金规则库维护（Groovy公式+版本管理）</t>
  </si>
  <si>
    <t>纯后端功能。规则包含：规则类型(FYC/RYC/OVERRIDE/BONUS)、适用职级、适用险种、Groovy计算公式、费率配置JSON、生效/失效日期、优先级。规则匹配算法：精确职级+险种&gt;半精确&gt;通配，同级按priority DESC排序取第一条。每次修改自动写commission_rate_history</t>
  </si>
  <si>
    <r>
      <rPr>
        <sz val="11"/>
        <color theme="1"/>
        <rFont val="Calibri"/>
        <charset val="134"/>
      </rPr>
      <t>Groovy Shell</t>
    </r>
    <r>
      <rPr>
        <sz val="11"/>
        <color theme="1"/>
        <rFont val="Noto Sans CJK SC"/>
        <charset val="134"/>
      </rPr>
      <t>执行公式，绑定变量：</t>
    </r>
    <r>
      <rPr>
        <sz val="11"/>
        <color theme="1"/>
        <rFont val="Calibri"/>
        <charset val="134"/>
      </rPr>
      <t>premium/rateConfig/agentRank/policyYear</t>
    </r>
    <r>
      <rPr>
        <sz val="11"/>
        <color theme="1"/>
        <rFont val="Noto Sans CJK SC"/>
        <charset val="134"/>
      </rPr>
      <t>；规则版本不可物理删除</t>
    </r>
  </si>
  <si>
    <t>后端1</t>
  </si>
  <si>
    <t>佣金试算（预览不保存）</t>
  </si>
  <si>
    <t>前端输入险种、保费、业务员、结算周期，调用/commission/calculate/preview。后端：查规则→执行Groovy公式→合规截断→递归查5级上级链→计算每层管理津贴，全部结果JSON返回前端展示（含公式明细、是否超限）。不写入commission_record</t>
  </si>
  <si>
    <t>前端展示本人佣金+逐级分润明细；后端Groovy执行异常需友好报错</t>
  </si>
  <si>
    <t>批量佣金计算（异步+进度）</t>
  </si>
  <si>
    <t>手动触发：选结算周期→预检（返回待计算保单数）→确认→异步执行。后端：每批1000条，查规则→Groovy计算本人佣金→合规校验→生成commission_record(PENDING)→递归计算上级OVERRIDE→生成commission_split。进度存Redis(key=commission:task:{taskId}:progress)，前端轮询。同一保单+类型联合唯一索引防重复</t>
  </si>
  <si>
    <r>
      <rPr>
        <sz val="11"/>
        <color theme="1"/>
        <rFont val="Calibri"/>
        <charset val="134"/>
      </rPr>
      <t>@Async</t>
    </r>
    <r>
      <rPr>
        <sz val="11"/>
        <color theme="1"/>
        <rFont val="Noto Sans CJK SC"/>
        <charset val="134"/>
      </rPr>
      <t>线程池；分布式任务进度</t>
    </r>
    <r>
      <rPr>
        <sz val="11"/>
        <color theme="1"/>
        <rFont val="Calibri"/>
        <charset val="134"/>
      </rPr>
      <t>Redis</t>
    </r>
    <r>
      <rPr>
        <sz val="11"/>
        <color theme="1"/>
        <rFont val="Noto Sans CJK SC"/>
        <charset val="134"/>
      </rPr>
      <t>存储；幂等保护防重复计算</t>
    </r>
  </si>
  <si>
    <t>佣金分摊（分红险续期RYC）</t>
  </si>
  <si>
    <t>每日凌晨04:00定时任务：查当月应续期保单(policy_type=DIVIDEND/UNIVERSAL)，取原FYC记录确认业务员和规则，按第N年对应ryc_schedule费率计算RYC，生成commission_record(type=RYC, policy_year=N)，同步计算上级管理津贴</t>
  </si>
  <si>
    <r>
      <rPr>
        <sz val="11"/>
        <color theme="1"/>
        <rFont val="Calibri"/>
        <charset val="134"/>
      </rPr>
      <t>ryc_schedule JSON</t>
    </r>
    <r>
      <rPr>
        <sz val="11"/>
        <color theme="1"/>
        <rFont val="Noto Sans CJK SC"/>
        <charset val="134"/>
      </rPr>
      <t>按年递减；续期年度计算</t>
    </r>
    <r>
      <rPr>
        <sz val="11"/>
        <color theme="1"/>
        <rFont val="Calibri"/>
        <charset val="134"/>
      </rPr>
      <t>=</t>
    </r>
    <r>
      <rPr>
        <sz val="11"/>
        <color theme="1"/>
        <rFont val="Noto Sans CJK SC"/>
        <charset val="134"/>
      </rPr>
      <t>当前日期</t>
    </r>
    <r>
      <rPr>
        <sz val="11"/>
        <color theme="1"/>
        <rFont val="Calibri"/>
        <charset val="134"/>
      </rPr>
      <t>-</t>
    </r>
    <r>
      <rPr>
        <sz val="11"/>
        <color theme="1"/>
        <rFont val="Noto Sans CJK SC"/>
        <charset val="134"/>
      </rPr>
      <t>承保日期；幂等控制避免重复生成</t>
    </r>
  </si>
  <si>
    <t>佣金结算</t>
  </si>
  <si>
    <t>结算单生成</t>
  </si>
  <si>
    <t>选结算周期+佣金类型+发放渠道→点击【生成】。后端：同一周期只允许一张草稿单；查询status=APPROVED且pay_batch_no为空的记录；按业务员汇总金额；检查员工收款账号绑定情况（未绑定跳过并提示）；创建commission_pay_batch(DRAFT)+commission_pay_detail；更新commission_record.pay_batch_no</t>
  </si>
  <si>
    <t>按业务员聚合汇总；未绑定账号需提示并可导出「待绑定账号名单」</t>
  </si>
  <si>
    <t>结算审核</t>
  </si>
  <si>
    <t>结算单状态流：DRAFT→PENDING(提交)→APPROVED(通过)/REJECTED(驳回)。驳回后：清空所有关联commission_record.pay_batch_no使其重新可分配。审核乐观锁：WHERE status='PENDING'防并发。操作均写sys_operate_log</t>
  </si>
  <si>
    <t>审批流状态机；驳回要清空pay_batch_no；乐观锁防并发审批</t>
  </si>
  <si>
    <t>佣金发放（银行/支付宝/微信）</t>
  </si>
  <si>
    <r>
      <rPr>
        <sz val="11"/>
        <color theme="1"/>
        <rFont val="Calibri"/>
        <charset val="134"/>
      </rPr>
      <t>APPROVED</t>
    </r>
    <r>
      <rPr>
        <sz val="11"/>
        <color theme="1"/>
        <rFont val="Noto Sans CJK SC"/>
        <charset val="134"/>
      </rPr>
      <t>结算单→点击【执行发放】→二次确认弹窗。银行渠道：生成标准格式</t>
    </r>
    <r>
      <rPr>
        <sz val="11"/>
        <color theme="1"/>
        <rFont val="Calibri"/>
        <charset val="134"/>
      </rPr>
      <t>Excel</t>
    </r>
    <r>
      <rPr>
        <sz val="11"/>
        <color theme="1"/>
        <rFont val="Noto Sans CJK SC"/>
        <charset val="134"/>
      </rPr>
      <t>文件上传</t>
    </r>
    <r>
      <rPr>
        <sz val="11"/>
        <color theme="1"/>
        <rFont val="Calibri"/>
        <charset val="134"/>
      </rPr>
      <t>OSS</t>
    </r>
    <r>
      <rPr>
        <sz val="11"/>
        <color theme="1"/>
        <rFont val="Noto Sans CJK SC"/>
        <charset val="134"/>
      </rPr>
      <t>，财务网银操作。支付宝渠道：逐笔调</t>
    </r>
    <r>
      <rPr>
        <sz val="11"/>
        <color theme="1"/>
        <rFont val="Calibri"/>
        <charset val="134"/>
      </rPr>
      <t>alipay.fund.trans.uni.transfer</t>
    </r>
    <r>
      <rPr>
        <sz val="11"/>
        <color theme="1"/>
        <rFont val="Noto Sans CJK SC"/>
        <charset val="134"/>
      </rPr>
      <t>，</t>
    </r>
    <r>
      <rPr>
        <sz val="11"/>
        <color theme="1"/>
        <rFont val="Calibri"/>
        <charset val="134"/>
      </rPr>
      <t>out_biz_no=PAY_{detailId}</t>
    </r>
    <r>
      <rPr>
        <sz val="11"/>
        <color theme="1"/>
        <rFont val="Noto Sans CJK SC"/>
        <charset val="134"/>
      </rPr>
      <t>幂等。失败最多重试</t>
    </r>
    <r>
      <rPr>
        <sz val="11"/>
        <color theme="1"/>
        <rFont val="Calibri"/>
        <charset val="134"/>
      </rPr>
      <t>3</t>
    </r>
    <r>
      <rPr>
        <sz val="11"/>
        <color theme="1"/>
        <rFont val="Noto Sans CJK SC"/>
        <charset val="134"/>
      </rPr>
      <t>次（退避</t>
    </r>
    <r>
      <rPr>
        <sz val="11"/>
        <color theme="1"/>
        <rFont val="Calibri"/>
        <charset val="134"/>
      </rPr>
      <t>1/5/15</t>
    </r>
    <r>
      <rPr>
        <sz val="11"/>
        <color theme="1"/>
        <rFont val="Noto Sans CJK SC"/>
        <charset val="134"/>
      </rPr>
      <t>分钟），仍失败标记人工处理。全部成功后更新</t>
    </r>
    <r>
      <rPr>
        <sz val="11"/>
        <color theme="1"/>
        <rFont val="Calibri"/>
        <charset val="134"/>
      </rPr>
      <t>commission_record.status=PAID</t>
    </r>
  </si>
  <si>
    <t>分布式锁防重复执行；支付宝/微信/银行三种渠道策略；失败重试队列@Scheduled每5分钟</t>
  </si>
  <si>
    <t>发放记录查询</t>
  </si>
  <si>
    <t>按业务员/结算周期/状态筛选历史发放记录，展示commission_pay_detail明细。支持查看支付凭证URL（点击预览）。导出Excel含所有明细字段</t>
  </si>
  <si>
    <t>0.5</t>
  </si>
  <si>
    <t>分页查询；导出超2000条异步生成通知下载</t>
  </si>
  <si>
    <t>对账管理</t>
  </si>
  <si>
    <t>保司对账（Excel导入+自动匹配）</t>
  </si>
  <si>
    <t>操作步骤：选保司+结算周期→上传Excel(支持.xls/.xlsx，最大10000行)→预解析5行预览→确认导入。后端：逐行解析，格式错误记录行号不中止；通过行批量插入insurance_settlement_detail(UNMATCHED)；创建insurance_settlement主表。对账：按policy_no+insurance_company匹配本地commission_record，差异≤0.01元为匹配，否则标记EXCEPTION并记录diff_type和diff_amount</t>
  </si>
  <si>
    <r>
      <rPr>
        <sz val="11"/>
        <color theme="1"/>
        <rFont val="Calibri"/>
        <charset val="134"/>
      </rPr>
      <t>Excel</t>
    </r>
    <r>
      <rPr>
        <sz val="11"/>
        <color theme="1"/>
        <rFont val="Noto Sans CJK SC"/>
        <charset val="134"/>
      </rPr>
      <t>导入用</t>
    </r>
    <r>
      <rPr>
        <sz val="11"/>
        <color theme="1"/>
        <rFont val="Calibri"/>
        <charset val="134"/>
      </rPr>
      <t>EasyExcel</t>
    </r>
    <r>
      <rPr>
        <sz val="11"/>
        <color theme="1"/>
        <rFont val="Noto Sans CJK SC"/>
        <charset val="134"/>
      </rPr>
      <t>；自动对账算法：精确匹配保单号；差异阈值</t>
    </r>
    <r>
      <rPr>
        <sz val="11"/>
        <color theme="1"/>
        <rFont val="Calibri"/>
        <charset val="134"/>
      </rPr>
      <t>0.01</t>
    </r>
    <r>
      <rPr>
        <sz val="11"/>
        <color theme="1"/>
        <rFont val="Noto Sans CJK SC"/>
        <charset val="134"/>
      </rPr>
      <t>元；批量匹配防</t>
    </r>
    <r>
      <rPr>
        <sz val="11"/>
        <color theme="1"/>
        <rFont val="Calibri"/>
        <charset val="134"/>
      </rPr>
      <t>OOM</t>
    </r>
  </si>
  <si>
    <t>差异处理</t>
  </si>
  <si>
    <t>差异处理弹窗：展示差异详情+处理方案选择（ACCEPT_INSURANCE/KEEP_LOCAL/MANUAL_ADJUST）。ACCEPT：更新本地佣金金额，若已发放则生成负向调整commission_record；KEEP_LOCAL：标记已处理，可生成异议函；MANUAL_ADJUST：输入最终确认金额走审批。分级审批：差异&lt;100元直接处理，100-1000元主管审批，&gt;1000元总经理审批</t>
  </si>
  <si>
    <t>三种处理策略Service实现；审批分级判断；已发放佣金的差额需生成补差commission_record</t>
  </si>
  <si>
    <t>对账报表</t>
  </si>
  <si>
    <t>汇总卡片（总保单数、匹配率%、异常条数、总差异金额）+ 折线图（各月匹配率趋势）+ 差异类型饼图。支持按保司/结算周期筛选。导出Excel含全部明细</t>
  </si>
  <si>
    <r>
      <rPr>
        <sz val="11"/>
        <color theme="1"/>
        <rFont val="Calibri"/>
        <charset val="134"/>
      </rPr>
      <t>ECharts</t>
    </r>
    <r>
      <rPr>
        <sz val="11"/>
        <color theme="1"/>
        <rFont val="Noto Sans CJK SC"/>
        <charset val="134"/>
      </rPr>
      <t>图表；复杂聚合</t>
    </r>
    <r>
      <rPr>
        <sz val="11"/>
        <color theme="1"/>
        <rFont val="Calibri"/>
        <charset val="134"/>
      </rPr>
      <t>SQL</t>
    </r>
    <r>
      <rPr>
        <sz val="11"/>
        <color theme="1"/>
        <rFont val="Noto Sans CJK SC"/>
        <charset val="134"/>
      </rPr>
      <t>；差异类型分组统计</t>
    </r>
  </si>
  <si>
    <t>订单中心（列表+高级搜索）</t>
  </si>
  <si>
    <t>基础搜索：订单号/被保人/险种/状态/时间。高级搜索（折叠）：保司/业务员/保费范围/支付状态。表格支持分页、排序、批量导出。点击行→订单详情页</t>
  </si>
  <si>
    <t>动态SQL多条件查询；推荐ES全文搜索（可降级MySQL）；列表字段可配置显示/隐藏</t>
  </si>
  <si>
    <r>
      <rPr>
        <sz val="11"/>
        <color theme="1"/>
        <rFont val="Calibri"/>
        <charset val="134"/>
      </rPr>
      <t>Tab</t>
    </r>
    <r>
      <rPr>
        <sz val="11"/>
        <color theme="1"/>
        <rFont val="Noto Sans CJK SC"/>
        <charset val="134"/>
      </rPr>
      <t>布局：基本信息</t>
    </r>
    <r>
      <rPr>
        <sz val="11"/>
        <color theme="1"/>
        <rFont val="Calibri"/>
        <charset val="134"/>
      </rPr>
      <t>/</t>
    </r>
    <r>
      <rPr>
        <sz val="11"/>
        <color theme="1"/>
        <rFont val="Noto Sans CJK SC"/>
        <charset val="134"/>
      </rPr>
      <t>投被保人信息（证件号脱敏显示，有权限才能解密）</t>
    </r>
    <r>
      <rPr>
        <sz val="11"/>
        <color theme="1"/>
        <rFont val="Calibri"/>
        <charset val="134"/>
      </rPr>
      <t>/</t>
    </r>
    <r>
      <rPr>
        <sz val="11"/>
        <color theme="1"/>
        <rFont val="Noto Sans CJK SC"/>
        <charset val="134"/>
      </rPr>
      <t>支付信息</t>
    </r>
    <r>
      <rPr>
        <sz val="11"/>
        <color theme="1"/>
        <rFont val="Calibri"/>
        <charset val="134"/>
      </rPr>
      <t>/</t>
    </r>
    <r>
      <rPr>
        <sz val="11"/>
        <color theme="1"/>
        <rFont val="Noto Sans CJK SC"/>
        <charset val="134"/>
      </rPr>
      <t>审核记录</t>
    </r>
    <r>
      <rPr>
        <sz val="11"/>
        <color theme="1"/>
        <rFont val="Calibri"/>
        <charset val="134"/>
      </rPr>
      <t>/</t>
    </r>
    <r>
      <rPr>
        <sz val="11"/>
        <color theme="1"/>
        <rFont val="Noto Sans CJK SC"/>
        <charset val="134"/>
      </rPr>
      <t>操作日志。</t>
    </r>
  </si>
  <si>
    <t>证件号AES加密存储，前端脱敏展示，需解密按钮+二次授权</t>
  </si>
  <si>
    <t>订单风控审核</t>
  </si>
  <si>
    <t>下单时同步执行规则引擎初判：单笔&gt;50万/重复投保/黑名单→高风险必须人工审核；业务员连续退保/新人大保费→中风险标记。人工审核操作：通过（触发出单）/拒保（退款）/补充材料（冻结订单）。审核结果发通知给业务员+客户</t>
  </si>
  <si>
    <t>规则引擎可用Drools或if-else链；审核乐观锁；拒保触发退款流程</t>
  </si>
  <si>
    <t>订单改批</t>
  </si>
  <si>
    <t>提交改批申请：填改批类型+说明+附件。若涉及保费变更需重新核算佣金（旧佣金REJECTED，新佣金重新进入待审核）。审批通过后调保司API提交变更。每次变更归档insurance_order_change_history版本记录</t>
  </si>
  <si>
    <t>版本控制归档；涉及保费变更时联动佣金系统重算</t>
  </si>
  <si>
    <t>订单退保</t>
  </si>
  <si>
    <t>提交退保申请：填退保原因+生效日。后端：按退保规则计算佣金回收金额（30天内100%/31-90天50%/91天-1年25%/1年以上0%）。已发放佣金生成负向commission_record(type=REFUND)在下月扣除；未发放佣金直接作废。退保审批通过后调保司API</t>
  </si>
  <si>
    <t>退保规则可在基本法配置（cancel_rules JSON），灵活调整回收比例</t>
  </si>
  <si>
    <t>保单管理</t>
  </si>
  <si>
    <t>保单列表</t>
  </si>
  <si>
    <t>搜索：保单号/被保人/保司/险种/状态/承保日期。状态：有效/到期/退保/失效。点击行→保单详情。操作列：详情/验真/变更/导出</t>
  </si>
  <si>
    <t>复合索引；多条件动态SQL</t>
  </si>
  <si>
    <t>保单手动录入</t>
  </si>
  <si>
    <t>三步表单：①基本信息（险种+保司+产品联动下拉，保单号，承保日期，保费，缴费年期）②被保人信息（姓名，证件号码18位加权校验，手机号）③附件上传（保单PDF必传）。后端：联合唯一索引(insurance_company+policy_no)防重复；证件号加权校验；OCR辅助识别（非强制）；保存后自动触发佣金计算</t>
  </si>
  <si>
    <r>
      <rPr>
        <sz val="11"/>
        <color theme="1"/>
        <rFont val="Calibri"/>
        <charset val="134"/>
      </rPr>
      <t>OCR</t>
    </r>
    <r>
      <rPr>
        <sz val="11"/>
        <color theme="1"/>
        <rFont val="Noto Sans CJK SC"/>
        <charset val="134"/>
      </rPr>
      <t>接口调用（可选）；三步表单前端分步校验；保单号</t>
    </r>
    <r>
      <rPr>
        <sz val="11"/>
        <color theme="1"/>
        <rFont val="Calibri"/>
        <charset val="134"/>
      </rPr>
      <t>+</t>
    </r>
    <r>
      <rPr>
        <sz val="11"/>
        <color theme="1"/>
        <rFont val="Noto Sans CJK SC"/>
        <charset val="134"/>
      </rPr>
      <t>保司联合唯一</t>
    </r>
  </si>
  <si>
    <t>保单验真</t>
  </si>
  <si>
    <t>点击【验真】调用保司API接口（按保司配置不同的API地址/认证方式）。返回：匹配→verify_status=VERIFIED；不匹配→verify_status=FAILED；接口超时→verify_status=TIMEOUT提示稍后重试。验证结果显示在保单详情页</t>
  </si>
  <si>
    <t>保司API策略模式；接口超时3秒；验真结果缓存避免频繁调用</t>
  </si>
  <si>
    <t>保单变更（批改/加保）</t>
  </si>
  <si>
    <t>批改（不变保费）：更新被保人信息/联系方式，审批通过后直接生效。加保（保费增加）：计算增额保费，生成增额佣金记录进待审核，调保司API提交。每次变更创建insurance_policy_change版本记录，归档旧版本</t>
  </si>
  <si>
    <t>变更类型判断是否影响保费；版本归档；涉及佣金变更需联动</t>
  </si>
  <si>
    <t>保单批量导出</t>
  </si>
  <si>
    <t>勾选或按筛选条件导出。≤2000条同步返回文件流；&gt;2000条异步生成完成后站内信通知下载。导出字段可配置</t>
  </si>
  <si>
    <t>大数据量异步导出；EasyExcel生成；OSS存储下载链接</t>
  </si>
  <si>
    <t>财务报表</t>
  </si>
  <si>
    <t>收入报表（保费收入统计）</t>
  </si>
  <si>
    <t>筛选：时间范围（月/季/年）+险种+保司+业务员/部门。图表：折线图（月保费趋势）+柱状图（险种占比）+饼图（保司分布）。数据表支持险种/保司/业务员下钻，有汇总行。支持导出Excel</t>
  </si>
  <si>
    <r>
      <rPr>
        <sz val="11"/>
        <color theme="1"/>
        <rFont val="Calibri"/>
        <charset val="134"/>
      </rPr>
      <t>ECharts</t>
    </r>
    <r>
      <rPr>
        <sz val="11"/>
        <color theme="1"/>
        <rFont val="Noto Sans CJK SC"/>
        <charset val="134"/>
      </rPr>
      <t>图表；聚合</t>
    </r>
    <r>
      <rPr>
        <sz val="11"/>
        <color theme="1"/>
        <rFont val="Calibri"/>
        <charset val="134"/>
      </rPr>
      <t>SQL</t>
    </r>
    <r>
      <rPr>
        <sz val="11"/>
        <color theme="1"/>
        <rFont val="Noto Sans CJK SC"/>
        <charset val="134"/>
      </rPr>
      <t>按时间分组；下钻查询嵌套</t>
    </r>
    <r>
      <rPr>
        <sz val="11"/>
        <color theme="1"/>
        <rFont val="Calibri"/>
        <charset val="134"/>
      </rPr>
      <t>GROUP BY</t>
    </r>
  </si>
  <si>
    <t>支出报表（佣金支出统计）</t>
  </si>
  <si>
    <t>按结算周期展示：FYC/RYC/OVERRIDE/BONUS各类型金额（堆叠柱图）；综合佣金率折线（佣金总额/保费总额）。数据表：周期、各类型佣金额、合计、总保费、综合佣金率。支持按险种/保司下钻</t>
  </si>
  <si>
    <t>多类型佣金聚合；佣金率趋势监控预警（超阈值标红）</t>
  </si>
  <si>
    <t>利润分析</t>
  </si>
  <si>
    <t>成本数据手工录入页（独立维护表）；利润率计算；多维度分析</t>
  </si>
  <si>
    <t>佣金发放汇总报表</t>
  </si>
  <si>
    <t>按结算周期/险种/业务员/发放渠道多维展示发放数据。关键指标卡：已发放总额、待发放总额、已驳回金额。支持下钻到每笔发放明细。导出Excel含业务员维度明细</t>
  </si>
  <si>
    <t>聚合统计SQL；多维度交叉分析；导出带业务员明细</t>
  </si>
  <si>
    <t>车险政策管理</t>
  </si>
  <si>
    <t>留点政策配置</t>
  </si>
  <si>
    <t>配置各保司留点比例（留给经纪人/代理人的手续费）；字段：保司、险种（交强/商业）、机构等级、留点比例区间（min%~max%）；支持按机构/业务员职级差异化配置；变更需记录commission_rate_history历史；前端可视化表格编辑，不合规比例红色提示。</t>
  </si>
  <si>
    <t>留点比例合规校验；多维度匹配优先级</t>
  </si>
  <si>
    <t>加投点政策配置（新版）</t>
  </si>
  <si>
    <t>配置新版加投点政策（阶梯式激励）；字段：保司、适用险种、业绩档位区间（月/季FYP区间）、对应加投点比例；支持批次管理（每批次设有效期）；计算时取当前有效批次中最匹配的档位；批次版本记录不可删除。</t>
  </si>
  <si>
    <t>阶梯档位匹配算法；批次版本管理</t>
  </si>
  <si>
    <t>报价赋值政策配置</t>
  </si>
  <si>
    <t>配置报价时的赋值规则（在保司返回价格基础上加价/减价/折扣展示）；字段：保司、险种、赋值类型（金额/百分比）、赋值方向（加/减）、生效时间范围；前端报价展示时按赋值规则调整显示价格（后端不修改实际保费，仅调整展示层）；赋值规则不得导致展示价低于成本。</t>
  </si>
  <si>
    <t>报价展示层与实际保费分离；赋值规则优先级</t>
  </si>
  <si>
    <t>预核保禁止投保名单</t>
  </si>
  <si>
    <t>管理预核保风控名单：按车牌号/VIN码/被保人证件号维度配置禁止投保理由（欺诈/骗保/高风险等）；支持批量导入名单（Excel）；报价/投保时实时比对名单，命中则阻止并提示业务员；名单有有效期设置；操作记录留审计日志。</t>
  </si>
  <si>
    <t>报价前置风控拦截；名单Redis缓存加速比对</t>
  </si>
  <si>
    <t>多级结算</t>
  </si>
  <si>
    <t>多级结算政策配置与负责人绑定</t>
  </si>
  <si>
    <t>配置多级结算策略：①组织负责人与上游佣金分润比例（override_hierarchy JSON）绑定，当下级出单时上级按比例获取分润；②支持2-5级分润链路配置；③分润激活门槛：负责人当月FYP须达最低门槛才激活分润资格；④在"组织维护管理"界面为组织设置多级结算负责人（参照196号PDF），系统自动关联本Sheet政策，实现组织架构与佣金策略双向绑定。</t>
  </si>
  <si>
    <t>分润链路递归计算（最多5级）；FYP激活门槛联动校验；与组织架构双向绑定</t>
  </si>
  <si>
    <t>薪酬管理</t>
  </si>
  <si>
    <t>佣金查询（业务员维度）</t>
  </si>
  <si>
    <t>业务员维度佣金明细查询：支持按业务员/时间区间/险种/结算状态等多条件筛选；列表展示：业务员工号/姓名/险种/保单号/保费/佣金率/佣金金额/结算状态/发放时间；合计行展示本页汇总和全量合计；支持导出Excel（最大50000条）。对应操作手册220号条目。</t>
  </si>
  <si>
    <t>多条件动态SQL；大数据量Excel导出分批处理</t>
  </si>
  <si>
    <t>工资查询（月度汇总）</t>
  </si>
  <si>
    <t>月度薪资汇总查看：按月/按人展示薪资构成明细（基本佣金FYC+续期佣金RYC+管理津贴OVERRIDE+奖励BONUS+加扣款合计）；数据从commission_record聚合+加扣款表汇总；展示税前/税后/代扣个税；支持导出工资条Excel（单员工或批量）。对应操作手册221号条目。</t>
  </si>
  <si>
    <t>多来源数据聚合；工资条模板生成；个税预扣计算</t>
  </si>
  <si>
    <t>加扣款导入</t>
  </si>
  <si>
    <t>运营人员通过Excel批量导入加扣款数据（考勤扣款/绩效奖励/垫付回收等）；模板字段：工号/姓名/月份/类型（加款/扣款）/金额/原因/备注；EasyExcel解析→工号/金额校验→INSERT comm_salary_adjustment；导入成功后影响当月工资结算；支持查看历史加扣款记录并下载。对应操作手册219号条目。</t>
  </si>
  <si>
    <r>
      <rPr>
        <sz val="10"/>
        <rFont val="Arial"/>
        <charset val="1"/>
      </rPr>
      <t>EasyExcel</t>
    </r>
    <r>
      <rPr>
        <sz val="10"/>
        <rFont val="Noto Sans CJK SC"/>
        <charset val="134"/>
      </rPr>
      <t>批量导入；工号存在性校验；结算月份关联</t>
    </r>
  </si>
  <si>
    <t>非车系统设置</t>
  </si>
  <si>
    <t>非车导入模板设置</t>
  </si>
  <si>
    <t>管理非车险保单导入Excel模板：不同险种可配置不同的导入列映射（列名→字段映射）；支持新增/编辑/启用/停用模板；模板包含必填字段标注、数据格式说明；保单导入时按选择模板解析；支持下载当前模板空表。对应操作手册105号条目。</t>
  </si>
  <si>
    <t>列映射配置化；模板版本管理；与保单导入联动</t>
  </si>
  <si>
    <t>非车保单字段自定义设置</t>
  </si>
  <si>
    <t>自定义非车险保单的展示/录入字段：系统预置标准字段+支持添加自定义字段（字段名/类型/必填/是否列表展示）；各险种可独立配置字段集；字段配置影响保单录入表单和列表列显示；配置变更后已有保单存量字段不受影响。对应操作手册106号条目。</t>
  </si>
  <si>
    <t>非车保单录入（手工单笔）</t>
  </si>
  <si>
    <t>在【非车-保单管理-保单录入】录入非车险保单。基本信息：保险公司（下拉）、标的类型（企业/个人）、标的名称、保(批)单号、险种编码、险种、互联网业务（是/否）、涉农业务（是/否）、保单状态、签单日期、起保日期、保险止期、渠道名称、业务员；被保人信息：被保人姓名；投保人信息：投保人名称；保单费用：全保费、净保费；上游手续费：上游保单手续费比例(%)、金额；下游手续费：下游比例、金额（可跳过）；保存后触发佣金匹配。对应操作手册86号。</t>
  </si>
  <si>
    <t>非车字段多且险种差异大；字段按险种动态显隐；联合唯一索引(保司+保单号)防重录</t>
  </si>
  <si>
    <t>非车批单录入</t>
  </si>
  <si>
    <t>录入非车保单的批改单：选择原非车保单号→填写批改类型（增保/减保/变更被保标的等）、批改保单号、批改日期、批改保费差额；如涉及保费变化则联动重算上下游手续费；批单与原保单关联存储；支持查看某张保单的所有批改历史。对应操作手册87号。</t>
  </si>
  <si>
    <t>批单与原保单关联；保费差额导致手续费重算；批改历史版本归档</t>
  </si>
  <si>
    <t>非车保单导入（Excel批量导入）</t>
  </si>
  <si>
    <t>通过Excel模板批量导入非车险保单：在【非车-系统设置-模板设置】中选择对应险种模板下载→填写数据→上传→系统预解析（格式验证+重复检查）→预览确认→异步批量写库；注意：表格中的险种类别和产品名称必须与系统中的完全一致才能导入成功；导入记录可在任务列表查看状态。对应操作手册88号。</t>
  </si>
  <si>
    <t>EasyExcel异步导入；险种/产品名称精确匹配校验；批次管理；导入失败详情报告</t>
  </si>
  <si>
    <t>非车保单查询列表</t>
  </si>
  <si>
    <t>【非车-保单查询】列表页，支持多条件组合查询：保险公司、保(批)单号（支持多个逗号分隔）、业务员、日期范围（签单/支付/起保）、险种、产品名称、保单状态等；列表字段：保险公司、保(批)单号、业务员、起保日期、保险止期、产品备注、工号名称、险种类型等；底部汇总总保费、净保费；支持导出。</t>
  </si>
  <si>
    <t>非车查询条件多于车险；险种树形多级联动；动态SQL多条件查询</t>
  </si>
  <si>
    <t>非车保单查询-查询条件设置</t>
  </si>
  <si>
    <t>用户自定义查询筛选条件的显示与顺序：点击【筛选设置】打开配置弹窗，左侧已启用条件（可拖拽调整顺序）、右侧可添加条件（包括工号描述、业务员登录名、渠道名称、保单来源、出单来源、出单员、出单机构、被保险人姓名、投保人姓名、投保人证件号、上游结算状态、共号、经办人等）；灰色条件为固定条件不可移除。对应操作手册90号。</t>
  </si>
  <si>
    <t>条件配置按用户持久化存储；拖拽排序；可选条件动态从字段元数据加载</t>
  </si>
  <si>
    <t>非车保单查询-查询列表字段设置</t>
  </si>
  <si>
    <t>用户自定义查询结果列表的展示字段与顺序：点击列表头部【字段设置图标】打开弹窗，勾选需要显示的字段并拖拽调整列顺序；可用字段包括：保险公司、保(批)单号、险种类型、产品名称、业务员、起保/止期、全保费、净保费、上游手续费比例、下游手续费比例、结算状态等40+字段；配置按用户维度保存。对应操作手册91号。</t>
  </si>
  <si>
    <t>列配置持久化存储；前端动态列渲染；字段元数据统一管理</t>
  </si>
  <si>
    <t>非车批量更新信息</t>
  </si>
  <si>
    <t>在非车保单查询列表，勾选多条保单→点击【批量更新信息】→下载导入模板→填写需修改数据（A列保单号必填，B列业务员可填，C列非车产品可填，D列上游结算方式，E列下游结算方式）→上传模板→系统校验→确认更新；已配政策或已结算保单的字段会提示不会更新费率；操作写审计日志。对应操作手册92号。</t>
  </si>
  <si>
    <t>EasyExcel模板批量更新；已结算字段保护逻辑；操作审计日志</t>
  </si>
  <si>
    <t>非车不能导入的排查步骤</t>
  </si>
  <si>
    <t>辅助功能：当非车保单导入失败时，提供标准排查引导流程：①检查模板是否为最新版本；②检查险种类别与系统是否一致；③检查产品名称是否存在于系统产品库；④检查日期格式是否为yyyy-mm-dd；⑤检查保单号是否已存在（重复录入）；⑥提供导入失败行的详细错误说明下载。对应操作手册93号。</t>
  </si>
  <si>
    <t>导入失败错误码与提示语映射表；支持下载含错误说明的失败明细Excel</t>
  </si>
  <si>
    <t>政策设置</t>
  </si>
  <si>
    <t>非车政策-新增政策批次</t>
  </si>
  <si>
    <t>在【非车-政策管理-非车政策】新增一个政策批次：配置政策批次名称（自定义）、保险公司（下拉）、日期类型（签单日期/支付日期）、状态（正常-立即生效/待确认-草稿）、生效日期区间、适用工号（可多选，须先配置非车工号范围）、适用机构；添加产品、承保条件和点位：选择产品名称（若无则到系统设置-产品管理中新增）、产品方案、上游手续费比例、下游手续费比例；保存后政策立即对新保单生效（状态为正常）。对应操作手册95号。</t>
  </si>
  <si>
    <t>政策批次版本管理；工号范围与政策关联；新保单匹配逻辑：按保司+险种+工号+日期区间匹配最新有效批次</t>
  </si>
  <si>
    <t>非车政策其他操作（编辑/复制/停用/删除）</t>
  </si>
  <si>
    <t>对已有非车政策批次的管理操作：①编辑：修改政策内容，保存后对新保单生效；②复制：快速复制一个政策批次为新草稿；③停用：将政策状态改为停用，停用后新保单不再匹配该政策；④删除：仅草稿状态（待确认）可删除，已生效政策不可删除；⑤政策详情：查看历史匹配了该政策的保单列表。对应操作手册96号。</t>
  </si>
  <si>
    <t>状态流转：待确认→正常→停用；已生效政策删除拦截；复制功能快速创建变体</t>
  </si>
  <si>
    <t>非车险别占比分析</t>
  </si>
  <si>
    <t>按险种类别统计非车险业务占比：展示各险种（财产险/工程险/责任险/农险/健康险等）的保单量占比饼图和保费占比饼图；下方数据表按险种展示单量、总保费、净保费、费率等；支持按日期/保司/机构筛选；支持导出。对应操作手册98号。</t>
  </si>
  <si>
    <t>ECharts饼图；险种编码分类映射；动态分组聚合</t>
  </si>
  <si>
    <t>非车分支机构分析</t>
  </si>
  <si>
    <t>按分支机构维度统计非车险业绩：左侧机构树，右侧展示合计（单量、总保费、净保费、保费比例）及各保险公司分列数据；可根据保司筛选条件查看特定保司的各机构费用情况。对应操作手册99号。</t>
  </si>
  <si>
    <t>递归机构树统计；按保司动态分列；与车险分支机构分析共用底层统计组件</t>
  </si>
  <si>
    <t>非车保险公司分析</t>
  </si>
  <si>
    <t>按保险公司维度统计非车险业务：展示各保司的保单量排名柱状图及保费占比；下方表格按保司列出保单数、总保费、净保费、各险种分列数据；支持按日期/险种/机构筛选；支持导出。对应操作手册100号。</t>
  </si>
  <si>
    <t>ECharts柱状图；动态险种分列；保司维度聚合</t>
  </si>
  <si>
    <t>非车区域占比分析</t>
  </si>
  <si>
    <t>按地区维度统计非车险业务：展示各省市非车险保单量占比和保费占比饼图/地图；下方数据表按机构+保司展示各区域数据；支持按日期/险种/保司筛选。对应操作手册101号。</t>
  </si>
  <si>
    <t>ECharts地图热力图；区域字段从被保标的地址获取</t>
  </si>
  <si>
    <t>非车业务来源分析</t>
  </si>
  <si>
    <t>按业务来源渠道分析非车险业务：展示各渠道（直销/转介绍/经纪/代理等）的业务量和保费占比；下方按业务来源+保司交叉统计展示明细；支持按日期/险种/机构筛选；支持导出。对应操作手册102号。</t>
  </si>
  <si>
    <t>业务来源字段从保单录入记录；渠道分类可配置</t>
  </si>
  <si>
    <t>系统设置</t>
  </si>
  <si>
    <t>产品管理（系统产品+自定义产品）</t>
  </si>
  <si>
    <t>在【非车-系统设置-产品管理】中管理非车险产品库：①系统产品：平台预置的标准产品，支持按险种分类查询；②自定义产品：用户自行新增的非标产品（填写产品名称、险种类别后保存，支持编辑和删除）；注意：非车保单表格导入时，表格内的险种类别和产品名称必须与系统产品库完全一致才能导入成功。对应操作手册104号。</t>
  </si>
  <si>
    <t>系统产品与自定义产品分开管理；产品名称全局唯一校验；与保单导入、政策配置联动</t>
  </si>
  <si>
    <t>模板设置（导入模板配置）</t>
  </si>
  <si>
    <t>在【非车-系统设置-模板设置】中管理各险种的Excel导入模板：①新增模板：填写模板名称（如"非车业务数据导出"）→在"未选字段"区域勾选需要的字段（基本信息/组织结构/车辆信息等分组）→字段显示在"已选字段"区域→确定保存；②字段分组：基本信息（保险公司、标的类型、险种编码、险种、保单状态、签单日期、起保日期、保险止期等）、被保人信息、投保人信息、保单费用、上下游手续费、上下游状态等；③支持多套模板，保单导入/导出时按需选择模板。对应操作手册105号。</t>
  </si>
  <si>
    <t>模板字段配置化存储；字段分组与保单表字段元数据对应；导入时按模板解析列映射</t>
  </si>
  <si>
    <t>保单设置（查询字段与行为配置）</t>
  </si>
  <si>
    <t>在【非车-系统设置-保单设置】中配置非车保单查询的全局行为：①默认日期类型（签单/支付/起保）；②默认查询时间范围（近1个月/近3个月/当月）；③是否开启多保单号逗号分隔搜索；④列表默认展示字段（与查询列表字段设置联动）；⑤是否显示未录入保单统计角标。对应操作手册106号。</t>
  </si>
  <si>
    <t>配置项存sys_config表；即时生效；影响所有用户的非车查询默认体验</t>
  </si>
  <si>
    <r>
      <rPr>
        <b/>
        <sz val="10"/>
        <rFont val="Arial"/>
        <charset val="1"/>
      </rPr>
      <t>PC</t>
    </r>
    <r>
      <rPr>
        <b/>
        <sz val="10"/>
        <rFont val="Noto Sans CJK SC"/>
        <charset val="134"/>
      </rPr>
      <t>客户管理</t>
    </r>
  </si>
  <si>
    <t>全部客户列表</t>
  </si>
  <si>
    <t>搜索：姓名模糊/手机后4位/证件后4位/标签/状态/归属机构/归属业务员；列表列：客户ID/姓名/手机脱敏/证件号脱敏/归属业务员/归属机构/首次投保日期/累计保费/客户等级/最近跟进时间；支持按客户等级/投保时间排序；分页+导出Excel（最大10000条）。对应操作手册25号条目。</t>
  </si>
  <si>
    <t>多条件动态SQL；数据权限过滤（管理员可查全部，业务员只查本人）；EasyExcel导出</t>
  </si>
  <si>
    <t>我的客户（业务员归属视图）</t>
  </si>
  <si>
    <t>按归属业务员过滤的客户列表；内勤/管理员可在搜索框切换"指定业务员"查看；列表含客户等级标签、最近跟进时间、距下次跟进倒计时；超期未跟进客户红色醒目标注；支持批量移交客户给其他业务员（需权限验证）。对应操作手册26号条目。</t>
  </si>
  <si>
    <t>业务员维度数据权限；批量移交客户事务性操作</t>
  </si>
  <si>
    <t>客户画像展示</t>
  </si>
  <si>
    <t>客户详情增强页：基本信息/联系方式/家庭成员/跟进记录时间轴/保单清单/标签/消费分析；新增客户画像Tab：保险偏好（险种分布饼图）/消费能力（近12个月保费柱状图）/跟进活跃度评分/推荐险种标签（基于已购险种分析）；PC端支持查看全量跟进记录（App端只看最近10条）。对应操作手册27号条目。</t>
  </si>
  <si>
    <r>
      <rPr>
        <sz val="10"/>
        <rFont val="Arial"/>
        <charset val="1"/>
      </rPr>
      <t>ECharts</t>
    </r>
    <r>
      <rPr>
        <sz val="10"/>
        <rFont val="Noto Sans CJK SC"/>
        <charset val="134"/>
      </rPr>
      <t>图表；多维度数据聚合；客户画像实时计算</t>
    </r>
  </si>
  <si>
    <t>客户批量导入（Excel）</t>
  </si>
  <si>
    <t>下载标准导入模板；上传.xlsx格式（&lt;10MB）；预解析展示前20行校验结果（手机格式/证件号格式/重复检测）；确认后批量导入：按手机号去重，存在则更新（补充字段），不存在则创建；批量插入每次500条；完成后站内信通知结果（成功N/更新M/失败X/失败Excel下载）。对应操作手册24号条目。</t>
  </si>
  <si>
    <r>
      <rPr>
        <sz val="10"/>
        <rFont val="Arial"/>
        <charset val="1"/>
      </rPr>
      <t>EasyExcel</t>
    </r>
    <r>
      <rPr>
        <sz val="10"/>
        <rFont val="Noto Sans CJK SC"/>
        <charset val="134"/>
      </rPr>
      <t>异步解析；手机号去重合并策略；加密字段处理</t>
    </r>
  </si>
  <si>
    <t>客户续期管理</t>
  </si>
  <si>
    <t>续期看板（PC端）</t>
  </si>
  <si>
    <r>
      <rPr>
        <sz val="10"/>
        <rFont val="Arial"/>
        <charset val="1"/>
      </rPr>
      <t>PC</t>
    </r>
    <r>
      <rPr>
        <sz val="10"/>
        <rFont val="Noto Sans CJK SC"/>
        <charset val="134"/>
      </rPr>
      <t>端续期工作台看板：顶部统计卡片（</t>
    </r>
    <r>
      <rPr>
        <sz val="10"/>
        <rFont val="Arial"/>
        <charset val="1"/>
      </rPr>
      <t>30/60/90</t>
    </r>
    <r>
      <rPr>
        <sz val="10"/>
        <rFont val="Noto Sans CJK SC"/>
        <charset val="134"/>
      </rPr>
      <t>天到期保单数</t>
    </r>
    <r>
      <rPr>
        <sz val="10"/>
        <rFont val="Arial"/>
        <charset val="1"/>
      </rPr>
      <t>/</t>
    </r>
    <r>
      <rPr>
        <sz val="10"/>
        <rFont val="Noto Sans CJK SC"/>
        <charset val="134"/>
      </rPr>
      <t>客户数）；到期保单列表按日历形式</t>
    </r>
    <r>
      <rPr>
        <sz val="10"/>
        <rFont val="Arial"/>
        <charset val="1"/>
      </rPr>
      <t>+</t>
    </r>
    <r>
      <rPr>
        <sz val="10"/>
        <rFont val="Noto Sans CJK SC"/>
        <charset val="134"/>
      </rPr>
      <t>列表双视图；按紧急程度分组（红</t>
    </r>
    <r>
      <rPr>
        <sz val="10"/>
        <rFont val="Arial"/>
        <charset val="1"/>
      </rPr>
      <t>&lt;15</t>
    </r>
    <r>
      <rPr>
        <sz val="10"/>
        <rFont val="Noto Sans CJK SC"/>
        <charset val="134"/>
      </rPr>
      <t>天</t>
    </r>
    <r>
      <rPr>
        <sz val="10"/>
        <rFont val="Arial"/>
        <charset val="1"/>
      </rPr>
      <t>/</t>
    </r>
    <r>
      <rPr>
        <sz val="10"/>
        <rFont val="Noto Sans CJK SC"/>
        <charset val="134"/>
      </rPr>
      <t>橙</t>
    </r>
    <r>
      <rPr>
        <sz val="10"/>
        <rFont val="Arial"/>
        <charset val="1"/>
      </rPr>
      <t>15-30</t>
    </r>
    <r>
      <rPr>
        <sz val="10"/>
        <rFont val="Noto Sans CJK SC"/>
        <charset val="134"/>
      </rPr>
      <t>天</t>
    </r>
    <r>
      <rPr>
        <sz val="10"/>
        <rFont val="Arial"/>
        <charset val="1"/>
      </rPr>
      <t>/</t>
    </r>
    <r>
      <rPr>
        <sz val="10"/>
        <rFont val="Noto Sans CJK SC"/>
        <charset val="134"/>
      </rPr>
      <t>黄</t>
    </r>
    <r>
      <rPr>
        <sz val="10"/>
        <rFont val="Arial"/>
        <charset val="1"/>
      </rPr>
      <t>30-60</t>
    </r>
    <r>
      <rPr>
        <sz val="10"/>
        <rFont val="Noto Sans CJK SC"/>
        <charset val="134"/>
      </rPr>
      <t>天）；支持按业务员</t>
    </r>
    <r>
      <rPr>
        <sz val="10"/>
        <rFont val="Arial"/>
        <charset val="1"/>
      </rPr>
      <t>/</t>
    </r>
    <r>
      <rPr>
        <sz val="10"/>
        <rFont val="Noto Sans CJK SC"/>
        <charset val="134"/>
      </rPr>
      <t>机构</t>
    </r>
    <r>
      <rPr>
        <sz val="10"/>
        <rFont val="Arial"/>
        <charset val="1"/>
      </rPr>
      <t>/</t>
    </r>
    <r>
      <rPr>
        <sz val="10"/>
        <rFont val="Noto Sans CJK SC"/>
        <charset val="134"/>
      </rPr>
      <t>险种</t>
    </r>
    <r>
      <rPr>
        <sz val="10"/>
        <rFont val="Arial"/>
        <charset val="1"/>
      </rPr>
      <t>/</t>
    </r>
    <r>
      <rPr>
        <sz val="10"/>
        <rFont val="Noto Sans CJK SC"/>
        <charset val="134"/>
      </rPr>
      <t>到期日期筛选；操作列：查看详情</t>
    </r>
    <r>
      <rPr>
        <sz val="10"/>
        <rFont val="Arial"/>
        <charset val="1"/>
      </rPr>
      <t>/</t>
    </r>
    <r>
      <rPr>
        <sz val="10"/>
        <rFont val="Noto Sans CJK SC"/>
        <charset val="134"/>
      </rPr>
      <t>发起报价</t>
    </r>
    <r>
      <rPr>
        <sz val="10"/>
        <rFont val="Arial"/>
        <charset val="1"/>
      </rPr>
      <t>/</t>
    </r>
    <r>
      <rPr>
        <sz val="10"/>
        <rFont val="Noto Sans CJK SC"/>
        <charset val="134"/>
      </rPr>
      <t>记录跟进</t>
    </r>
    <r>
      <rPr>
        <sz val="10"/>
        <rFont val="Arial"/>
        <charset val="1"/>
      </rPr>
      <t>/</t>
    </r>
    <r>
      <rPr>
        <sz val="10"/>
        <rFont val="Noto Sans CJK SC"/>
        <charset val="134"/>
      </rPr>
      <t>转移给他人；支持批量分配任务给业务员。对应操作手册</t>
    </r>
    <r>
      <rPr>
        <sz val="10"/>
        <rFont val="Arial"/>
        <charset val="1"/>
      </rPr>
      <t>30</t>
    </r>
    <r>
      <rPr>
        <sz val="10"/>
        <rFont val="Noto Sans CJK SC"/>
        <charset val="134"/>
      </rPr>
      <t>号条目。</t>
    </r>
  </si>
  <si>
    <r>
      <rPr>
        <sz val="10"/>
        <rFont val="Arial"/>
        <charset val="1"/>
      </rPr>
      <t>ECharts</t>
    </r>
    <r>
      <rPr>
        <sz val="10"/>
        <rFont val="Noto Sans CJK SC"/>
        <charset val="134"/>
      </rPr>
      <t>日历热力图；多维度筛选；批量分配任务分布式锁</t>
    </r>
  </si>
  <si>
    <t>续期客户跟进记录（PC端）</t>
  </si>
  <si>
    <t>内勤/管理员在PC端查看和操作跟进记录：列表展示所有业务员的续期跟进进度；支持搜索指定业务员/客户；可代业务员录入跟进记录（注明代录原因）；跟进记录含：方式/态度/备注/下次计划/是否发送报价单；导出跟进记录Excel报表。对应操作手册29号条目。</t>
  </si>
  <si>
    <t>代录跟进需记录操作人；权限控制（只有主管以上可代录）</t>
  </si>
  <si>
    <t>续期保单列表</t>
  </si>
  <si>
    <t>查询即将到期或已到期的保单清单（区别于全量保单管理）；专门服务于续期场景；列表含：保单号/客户/险种/保司/到期日/剩余天数/归属业务员/续保状态（未跟进/跟进中/已成交/已流失）；可发起续保报价跳转至报价模块；导出续期保单Excel。对应操作手册31号条目。</t>
  </si>
  <si>
    <t>续保状态与报价模块联动；到期日期索引优化</t>
  </si>
  <si>
    <t>客户工具（PC端）</t>
  </si>
  <si>
    <t>云短信（PC端批量发送）</t>
  </si>
  <si>
    <r>
      <rPr>
        <sz val="10"/>
        <rFont val="Arial"/>
        <charset val="1"/>
      </rPr>
      <t>PC</t>
    </r>
    <r>
      <rPr>
        <sz val="10"/>
        <rFont val="Noto Sans CJK SC"/>
        <charset val="134"/>
      </rPr>
      <t>端批量短信发送中心：选择模板→选择接收对象（按标签</t>
    </r>
    <r>
      <rPr>
        <sz val="10"/>
        <rFont val="Arial"/>
        <charset val="1"/>
      </rPr>
      <t>/</t>
    </r>
    <r>
      <rPr>
        <sz val="10"/>
        <rFont val="Noto Sans CJK SC"/>
        <charset val="134"/>
      </rPr>
      <t>分组</t>
    </r>
    <r>
      <rPr>
        <sz val="10"/>
        <rFont val="Arial"/>
        <charset val="1"/>
      </rPr>
      <t>/</t>
    </r>
    <r>
      <rPr>
        <sz val="10"/>
        <rFont val="Noto Sans CJK SC"/>
        <charset val="134"/>
      </rPr>
      <t>手动输入</t>
    </r>
    <r>
      <rPr>
        <sz val="10"/>
        <rFont val="Arial"/>
        <charset val="1"/>
      </rPr>
      <t>/Excel</t>
    </r>
    <r>
      <rPr>
        <sz val="10"/>
        <rFont val="Noto Sans CJK SC"/>
        <charset val="134"/>
      </rPr>
      <t>导入手机号）→预览发送内容→定时</t>
    </r>
    <r>
      <rPr>
        <sz val="10"/>
        <rFont val="Arial"/>
        <charset val="1"/>
      </rPr>
      <t>/</t>
    </r>
    <r>
      <rPr>
        <sz val="10"/>
        <rFont val="Noto Sans CJK SC"/>
        <charset val="134"/>
      </rPr>
      <t>立即发送；发送前检查手机号黑名单（用户退订名单）；发送记录查询（成功</t>
    </r>
    <r>
      <rPr>
        <sz val="10"/>
        <rFont val="Arial"/>
        <charset val="1"/>
      </rPr>
      <t>/</t>
    </r>
    <r>
      <rPr>
        <sz val="10"/>
        <rFont val="Noto Sans CJK SC"/>
        <charset val="134"/>
      </rPr>
      <t>失败</t>
    </r>
    <r>
      <rPr>
        <sz val="10"/>
        <rFont val="Arial"/>
        <charset val="1"/>
      </rPr>
      <t>/</t>
    </r>
    <r>
      <rPr>
        <sz val="10"/>
        <rFont val="Noto Sans CJK SC"/>
        <charset val="134"/>
      </rPr>
      <t>退订数量）；支持短信余量查询和购买入口；发送频率限制（同手机号</t>
    </r>
    <r>
      <rPr>
        <sz val="10"/>
        <rFont val="Arial"/>
        <charset val="1"/>
      </rPr>
      <t>7</t>
    </r>
    <r>
      <rPr>
        <sz val="10"/>
        <rFont val="Noto Sans CJK SC"/>
        <charset val="134"/>
      </rPr>
      <t>天内不超</t>
    </r>
    <r>
      <rPr>
        <sz val="10"/>
        <rFont val="Arial"/>
        <charset val="1"/>
      </rPr>
      <t>3</t>
    </r>
    <r>
      <rPr>
        <sz val="10"/>
        <rFont val="Noto Sans CJK SC"/>
        <charset val="134"/>
      </rPr>
      <t>次）。对应操作手册</t>
    </r>
    <r>
      <rPr>
        <sz val="10"/>
        <rFont val="Arial"/>
        <charset val="1"/>
      </rPr>
      <t>33</t>
    </r>
    <r>
      <rPr>
        <sz val="10"/>
        <rFont val="Noto Sans CJK SC"/>
        <charset val="134"/>
      </rPr>
      <t>号条目。</t>
    </r>
  </si>
  <si>
    <t>阿里云/腾讯云短信批量API；发送频率Redis限制；黑名单过滤</t>
  </si>
  <si>
    <t>客户数据分析</t>
  </si>
  <si>
    <t>企业概览（数据大屏）</t>
  </si>
  <si>
    <t>平台数据概览大屏：核心指标（注册用户总数/活跃用户/本月新增/本月保费/累计保费/在售保单数/历史报价数）；趋势图（近12个月保费走势折线图）；险种分布饼图；保司贡献度柱状图；地域分布中国地图热力图；每日凌晨3点从各业务表统计汇总写stat表，大屏读stat表。对应操作手册37号条目。</t>
  </si>
  <si>
    <r>
      <rPr>
        <sz val="10"/>
        <rFont val="Arial"/>
        <charset val="1"/>
      </rPr>
      <t>ECharts</t>
    </r>
    <r>
      <rPr>
        <sz val="10"/>
        <rFont val="Noto Sans CJK SC"/>
        <charset val="134"/>
      </rPr>
      <t>多图表；数据看板组件；统计汇总定时任务</t>
    </r>
  </si>
  <si>
    <t>员工报表与业务报表</t>
  </si>
  <si>
    <t>员工维度报表：按业务员/机构/部门维度展示本月/本季/本年保费排行、件数、佣金、新增客户数；支持时间维度切换；导出Excel；支持设定目标值并展示完成率进度条。业务维度报表：险种占比/保司占比/客群年龄分布/新续保比例；按时间范围筛选；复合图表展示。对应操作手册38-39号条目。</t>
  </si>
  <si>
    <r>
      <rPr>
        <sz val="10"/>
        <rFont val="Arial"/>
        <charset val="1"/>
      </rPr>
      <t>ECharts</t>
    </r>
    <r>
      <rPr>
        <sz val="10"/>
        <rFont val="Noto Sans CJK SC"/>
        <charset val="134"/>
      </rPr>
      <t>多图表；多维度</t>
    </r>
    <r>
      <rPr>
        <sz val="10"/>
        <rFont val="Arial"/>
        <charset val="1"/>
      </rPr>
      <t>GROUP BY</t>
    </r>
    <r>
      <rPr>
        <sz val="10"/>
        <rFont val="Noto Sans CJK SC"/>
        <charset val="134"/>
      </rPr>
      <t>；目标值配置表</t>
    </r>
  </si>
  <si>
    <t>监控数据看板</t>
  </si>
  <si>
    <t>实时系统运营监控：报价成功率（实时，Redis统计）/出单转化率/核保通过率/理赔处理及时率；异常告警区（核保通过率骤降/报价接口超时率高等）；数据来源：Redis实时指标+5分钟批量写入stat表；支持配置告警阈值（低于N%触发站内信告警）。对应操作手册40号条目。</t>
  </si>
  <si>
    <t>实时指标Redis存储；告警阈值配置化；ECharts仪表盘</t>
  </si>
  <si>
    <r>
      <t>3</t>
    </r>
    <r>
      <rPr>
        <sz val="11"/>
        <color rgb="FFFF0000"/>
        <rFont val="宋体-简"/>
        <charset val="1"/>
      </rPr>
      <t>月已派</t>
    </r>
  </si>
  <si>
    <t>注册登录</t>
  </si>
  <si>
    <t>手机号+短信验证码注册登录；图形验证防刷；6位验证码Redis存储TTL=5分钟；连续错误5次锁定30分钟；JWT双Token（7天+30天）；登录时更新IP和时间，记录登录日志，检测异地登录发短信提醒</t>
  </si>
  <si>
    <r>
      <rPr>
        <sz val="9"/>
        <rFont val="Arial"/>
        <charset val="1"/>
      </rPr>
      <t>SMS</t>
    </r>
    <r>
      <rPr>
        <sz val="9"/>
        <rFont val="Noto Sans CJK SC"/>
        <charset val="134"/>
      </rPr>
      <t>防刷：</t>
    </r>
    <r>
      <rPr>
        <sz val="9"/>
        <rFont val="Arial"/>
        <charset val="1"/>
      </rPr>
      <t>IP/</t>
    </r>
    <r>
      <rPr>
        <sz val="9"/>
        <rFont val="Noto Sans CJK SC"/>
        <charset val="134"/>
      </rPr>
      <t>手机号</t>
    </r>
    <r>
      <rPr>
        <sz val="9"/>
        <rFont val="Arial"/>
        <charset val="1"/>
      </rPr>
      <t>/</t>
    </r>
    <r>
      <rPr>
        <sz val="9"/>
        <rFont val="Noto Sans CJK SC"/>
        <charset val="134"/>
      </rPr>
      <t>设备三重限频；</t>
    </r>
    <r>
      <rPr>
        <sz val="9"/>
        <rFont val="Arial"/>
        <charset val="1"/>
      </rPr>
      <t>Redis Lua</t>
    </r>
    <r>
      <rPr>
        <sz val="9"/>
        <rFont val="Noto Sans CJK SC"/>
        <charset val="134"/>
      </rPr>
      <t>原子操作；</t>
    </r>
    <r>
      <rPr>
        <sz val="9"/>
        <rFont val="Arial"/>
        <charset val="1"/>
      </rPr>
      <t>JWT</t>
    </r>
    <r>
      <rPr>
        <sz val="9"/>
        <rFont val="Noto Sans CJK SC"/>
        <charset val="134"/>
      </rPr>
      <t>签发与验证</t>
    </r>
  </si>
  <si>
    <t>微信授权</t>
  </si>
  <si>
    <t>微信OAuth2.0授权登录；state防CSRF（Redis存10分钟）；首次授权未绑手机号则提示绑定弹窗；支持绑定/解绑微信；优先使用unionid做跨应用用户打通</t>
  </si>
  <si>
    <t>微信JSSDK/APP/H5三种环境适配；access_token Redis缓存刷新</t>
  </si>
  <si>
    <t>实名认证</t>
  </si>
  <si>
    <t>上传身份证正反面OCR识别；自动填充姓名/证件号/有效期；调第三方二要素认证API；认证状态机：未认证→审核中→已认证/失败；证件号AES加密存储，展示脱敏格式</t>
  </si>
  <si>
    <r>
      <rPr>
        <sz val="9"/>
        <rFont val="Arial"/>
        <charset val="1"/>
      </rPr>
      <t>OCR</t>
    </r>
    <r>
      <rPr>
        <sz val="9"/>
        <rFont val="Noto Sans CJK SC"/>
        <charset val="134"/>
      </rPr>
      <t>识别</t>
    </r>
    <r>
      <rPr>
        <sz val="9"/>
        <rFont val="Arial"/>
        <charset val="1"/>
      </rPr>
      <t>+</t>
    </r>
    <r>
      <rPr>
        <sz val="9"/>
        <rFont val="Noto Sans CJK SC"/>
        <charset val="134"/>
      </rPr>
      <t>二要素</t>
    </r>
    <r>
      <rPr>
        <sz val="9"/>
        <rFont val="Arial"/>
        <charset val="1"/>
      </rPr>
      <t>API</t>
    </r>
    <r>
      <rPr>
        <sz val="9"/>
        <rFont val="Noto Sans CJK SC"/>
        <charset val="134"/>
      </rPr>
      <t>集成；证件号加密存储</t>
    </r>
    <r>
      <rPr>
        <sz val="9"/>
        <rFont val="Arial"/>
        <charset val="1"/>
      </rPr>
      <t>AES</t>
    </r>
    <r>
      <rPr>
        <sz val="9"/>
        <rFont val="Noto Sans CJK SC"/>
        <charset val="134"/>
      </rPr>
      <t>；状态异步更新回调</t>
    </r>
  </si>
  <si>
    <t>人脸识别</t>
  </si>
  <si>
    <t>投保高保额或提现场景触发；调SDK创建核验任务获取bizToken；前端拍摄活体（点头/摇头/张嘴）；相似度≥60通过；连续失败3次锁定24小时</t>
  </si>
  <si>
    <t>腾讯云慧眼/阿里云活体检测SDK对接；错误次数Redis锁定</t>
  </si>
  <si>
    <t>展示头像/昵称/手机号/会员等级；支持修改昵称（过敏词过滤）和头像（裁切上传OSS+异步安全审核）；退出登录清除本地token</t>
  </si>
  <si>
    <t>昵称内容安全API过滤；头像上传OSS；图片安全审核异步</t>
  </si>
  <si>
    <t>家人管理</t>
  </si>
  <si>
    <t>添加最多10名家庭成员；字段：姓名/关系/证件类型/证件号/出生日期；身份证号与出生日期段需匹配；证件号加密存储；成员数量上限校验</t>
  </si>
  <si>
    <t>多证件类型格式校验；身份证与出生日期段匹配</t>
  </si>
  <si>
    <t>地址管理</t>
  </si>
  <si>
    <t>最多5条收件地址；省市区三级联动；默认地址互斥（设新默认则清除其他）；删除默认地址后自动将第一条设为默认</t>
  </si>
  <si>
    <t>三级行政区联动数据；默认地址互斥逻辑</t>
  </si>
  <si>
    <t>银行卡管理</t>
  </si>
  <si>
    <t>最多绑5张银行卡；银行卡四要素验证（姓名+身份证+卡号+开户手机）；卡号AES加密存储；解绑需二次确认；用于退款时指定收款卡</t>
  </si>
  <si>
    <t>银行卡四要素API集成；卡号AES加密；解绑保护</t>
  </si>
  <si>
    <t>商城首页</t>
  </si>
  <si>
    <r>
      <rPr>
        <sz val="9"/>
        <rFont val="Arial"/>
        <charset val="1"/>
      </rPr>
      <t>Banner</t>
    </r>
    <r>
      <rPr>
        <sz val="9"/>
        <rFont val="Noto Sans CJK SC"/>
        <charset val="134"/>
      </rPr>
      <t>轮播</t>
    </r>
  </si>
  <si>
    <t>首页顶部轮播图，最多8张；支持站内/外链跳转；按配置sort排序；Redis缓存300s，运营后台修改后主动清除缓存；支持配置展示时间段</t>
  </si>
  <si>
    <r>
      <rPr>
        <sz val="9"/>
        <rFont val="Arial"/>
        <charset val="1"/>
      </rPr>
      <t>Redis</t>
    </r>
    <r>
      <rPr>
        <sz val="9"/>
        <rFont val="Noto Sans CJK SC"/>
        <charset val="134"/>
      </rPr>
      <t>缓存</t>
    </r>
    <r>
      <rPr>
        <sz val="9"/>
        <rFont val="Arial"/>
        <charset val="1"/>
      </rPr>
      <t>+</t>
    </r>
    <r>
      <rPr>
        <sz val="9"/>
        <rFont val="Noto Sans CJK SC"/>
        <charset val="134"/>
      </rPr>
      <t>主动刷新；</t>
    </r>
    <r>
      <rPr>
        <sz val="9"/>
        <rFont val="Arial"/>
        <charset val="1"/>
      </rPr>
      <t>Swiper</t>
    </r>
    <r>
      <rPr>
        <sz val="9"/>
        <rFont val="Noto Sans CJK SC"/>
        <charset val="134"/>
      </rPr>
      <t>组件；图片</t>
    </r>
    <r>
      <rPr>
        <sz val="9"/>
        <rFont val="Arial"/>
        <charset val="1"/>
      </rPr>
      <t>CDN</t>
    </r>
    <r>
      <rPr>
        <sz val="9"/>
        <rFont val="Noto Sans CJK SC"/>
        <charset val="134"/>
      </rPr>
      <t>加速</t>
    </r>
  </si>
  <si>
    <t>分类导航</t>
  </si>
  <si>
    <t>首页展示最多8个一级分类宫格；支持hot/new角标；点击跳产品列表传categoryId；超8个展示更多入口；Redis缓存600s</t>
  </si>
  <si>
    <t>分类树形结构缓存；图标CDN；运营后台实时配置</t>
  </si>
  <si>
    <t>热销推荐</t>
  </si>
  <si>
    <t>按销量降序取前10个已上架且hot_flag=1的产品；产品卡片含名称/保司/保障点/保费；Redis缓存600s</t>
  </si>
  <si>
    <r>
      <rPr>
        <sz val="9"/>
        <rFont val="Arial"/>
        <charset val="1"/>
      </rPr>
      <t>Redis</t>
    </r>
    <r>
      <rPr>
        <sz val="9"/>
        <rFont val="Noto Sans CJK SC"/>
        <charset val="134"/>
      </rPr>
      <t>缓存；</t>
    </r>
    <r>
      <rPr>
        <sz val="9"/>
        <rFont val="Arial"/>
        <charset val="1"/>
      </rPr>
      <t>sales_count</t>
    </r>
    <r>
      <rPr>
        <sz val="9"/>
        <rFont val="Noto Sans CJK SC"/>
        <charset val="134"/>
      </rPr>
      <t>异步更新；产品卡片组件复用</t>
    </r>
  </si>
  <si>
    <t>爆款专区</t>
  </si>
  <si>
    <t>展示限时活动产品；前端JS倒计时（毫秒级精度）；倒计时归零自动置灰按钮；Redis缓存TTL=60s（时效性强）</t>
  </si>
  <si>
    <t>活动时间毫秒时间戳；前端JS倒计时；缓存TTL短</t>
  </si>
  <si>
    <t>资讯列表</t>
  </si>
  <si>
    <t>保险攻略文章分页列表；阅读数Redis INCR异步更新，每5分钟批量同步DB；文章详情WebView渲染富文本；支持分类Tab筛选</t>
  </si>
  <si>
    <t>富文本渲染；阅读数Redis异步累计；图片懒加载</t>
  </si>
  <si>
    <t>智能推荐</t>
  </si>
  <si>
    <t>未登录展示热销Top产品；已登录取用户近30天浏览日志高频分类Top3，优先推荐该分类产品并排除已购保单；结果缓存Redis 1800s，行为变化主动刷新</t>
  </si>
  <si>
    <t>用户画像计算；浏览日志统计；缓存失效策略；协同过滤雏形</t>
  </si>
  <si>
    <t>产品分类</t>
  </si>
  <si>
    <t>顶部Tab展示一级分类（可横滑）；URL传categoryId默认选中对应分类；切换Tab即时刷新产品列表；复用首页分类数据缓存</t>
  </si>
  <si>
    <r>
      <rPr>
        <sz val="9"/>
        <rFont val="Arial"/>
        <charset val="1"/>
      </rPr>
      <t>Tab</t>
    </r>
    <r>
      <rPr>
        <sz val="9"/>
        <rFont val="Noto Sans CJK SC"/>
        <charset val="134"/>
      </rPr>
      <t>联动列表滚动；分类缓存复用</t>
    </r>
  </si>
  <si>
    <t>筛选条件</t>
  </si>
  <si>
    <t>右侧抽屉筛选面板：保险公司多选（最多5个）、价格区间滑块、保障期限单选、被保年龄范围输入、缴费方式多选；已选条件顶部Tag显示可单独删除；点确定刷新列表</t>
  </si>
  <si>
    <t>多条件组合SQL动态拼接；筛选项缓存；Tag显示已选状态</t>
  </si>
  <si>
    <t>排序功能</t>
  </si>
  <si>
    <t>综合排序（hot_flag+sales_count+时间）/销量最高/价格最低/价格最高四种排序Tab；与筛选状态互不干扰</t>
  </si>
  <si>
    <t>排序字段映射；与筛选条件正交组合</t>
  </si>
  <si>
    <t>产品卡片</t>
  </si>
  <si>
    <t>卡片含：封面图/产品名/保司/3个核心保障点/已售数/保费/收藏图标；收藏图标登录态红色高亮；点卡片跳详情；点收藏触发收藏接口</t>
  </si>
  <si>
    <t>卡片组件复用；收藏状态实时同步；图片懒加载</t>
  </si>
  <si>
    <t>卡片勾选对比（最多4个），底部悬浮对比栏；对比页行=维度列=产品；保障内容逐条对比差异项高亮；批量查询接口</t>
  </si>
  <si>
    <t>对比组件悬浮固定；差异高亮算法；最多4产品限制</t>
  </si>
  <si>
    <t>产品介绍</t>
  </si>
  <si>
    <r>
      <rPr>
        <sz val="9"/>
        <rFont val="Arial"/>
        <charset val="1"/>
      </rPr>
      <t>4</t>
    </r>
    <r>
      <rPr>
        <sz val="9"/>
        <rFont val="Noto Sans CJK SC"/>
        <charset val="134"/>
      </rPr>
      <t>个</t>
    </r>
    <r>
      <rPr>
        <sz val="9"/>
        <rFont val="Arial"/>
        <charset val="1"/>
      </rPr>
      <t>Tab</t>
    </r>
    <r>
      <rPr>
        <sz val="9"/>
        <rFont val="Noto Sans CJK SC"/>
        <charset val="134"/>
      </rPr>
      <t>（介绍</t>
    </r>
    <r>
      <rPr>
        <sz val="9"/>
        <rFont val="Arial"/>
        <charset val="1"/>
      </rPr>
      <t>/</t>
    </r>
    <r>
      <rPr>
        <sz val="9"/>
        <rFont val="Noto Sans CJK SC"/>
        <charset val="134"/>
      </rPr>
      <t>保障</t>
    </r>
    <r>
      <rPr>
        <sz val="9"/>
        <rFont val="Arial"/>
        <charset val="1"/>
      </rPr>
      <t>/</t>
    </r>
    <r>
      <rPr>
        <sz val="9"/>
        <rFont val="Noto Sans CJK SC"/>
        <charset val="134"/>
      </rPr>
      <t>案例</t>
    </r>
    <r>
      <rPr>
        <sz val="9"/>
        <rFont val="Arial"/>
        <charset val="1"/>
      </rPr>
      <t>/FAQ</t>
    </r>
    <r>
      <rPr>
        <sz val="9"/>
        <rFont val="Noto Sans CJK SC"/>
        <charset val="134"/>
      </rPr>
      <t>）；顶部悬浮立即投保栏；销售有效期临近下架提示；</t>
    </r>
    <r>
      <rPr>
        <sz val="9"/>
        <rFont val="Arial"/>
        <charset val="1"/>
      </rPr>
      <t>Swiper</t>
    </r>
    <r>
      <rPr>
        <sz val="9"/>
        <rFont val="Noto Sans CJK SC"/>
        <charset val="134"/>
      </rPr>
      <t>产品图轮播；富文本</t>
    </r>
    <r>
      <rPr>
        <sz val="9"/>
        <rFont val="Arial"/>
        <charset val="1"/>
      </rPr>
      <t>Markdown</t>
    </r>
    <r>
      <rPr>
        <sz val="9"/>
        <rFont val="Noto Sans CJK SC"/>
        <charset val="134"/>
      </rPr>
      <t>渲染；浏览量</t>
    </r>
    <r>
      <rPr>
        <sz val="9"/>
        <rFont val="Arial"/>
        <charset val="1"/>
      </rPr>
      <t>Redis INCR</t>
    </r>
    <r>
      <rPr>
        <sz val="9"/>
        <rFont val="Noto Sans CJK SC"/>
        <charset val="134"/>
      </rPr>
      <t>异步更新；结果</t>
    </r>
    <r>
      <rPr>
        <sz val="9"/>
        <rFont val="Arial"/>
        <charset val="1"/>
      </rPr>
      <t>Redis</t>
    </r>
    <r>
      <rPr>
        <sz val="9"/>
        <rFont val="Noto Sans CJK SC"/>
        <charset val="134"/>
      </rPr>
      <t>缓存</t>
    </r>
    <r>
      <rPr>
        <sz val="9"/>
        <rFont val="Arial"/>
        <charset val="1"/>
      </rPr>
      <t>300s</t>
    </r>
  </si>
  <si>
    <r>
      <rPr>
        <sz val="9"/>
        <rFont val="Arial"/>
        <charset val="1"/>
      </rPr>
      <t>Markdown/</t>
    </r>
    <r>
      <rPr>
        <sz val="9"/>
        <rFont val="Noto Sans CJK SC"/>
        <charset val="134"/>
      </rPr>
      <t>富文本渲染；</t>
    </r>
    <r>
      <rPr>
        <sz val="9"/>
        <rFont val="Arial"/>
        <charset val="1"/>
      </rPr>
      <t>Swiper</t>
    </r>
    <r>
      <rPr>
        <sz val="9"/>
        <rFont val="Noto Sans CJK SC"/>
        <charset val="134"/>
      </rPr>
      <t>组件；多</t>
    </r>
    <r>
      <rPr>
        <sz val="9"/>
        <rFont val="Arial"/>
        <charset val="1"/>
      </rPr>
      <t>Tab</t>
    </r>
    <r>
      <rPr>
        <sz val="9"/>
        <rFont val="Noto Sans CJK SC"/>
        <charset val="134"/>
      </rPr>
      <t>懒加载</t>
    </r>
  </si>
  <si>
    <t>保障详情</t>
  </si>
  <si>
    <t>保障责任折叠面板（Accordion）展示；免责条款红色醒目标注；条款PDF下载（OSS签名URL，5分钟有效）</t>
  </si>
  <si>
    <r>
      <rPr>
        <sz val="9"/>
        <rFont val="Arial"/>
        <charset val="1"/>
      </rPr>
      <t>Accordion</t>
    </r>
    <r>
      <rPr>
        <sz val="9"/>
        <rFont val="Noto Sans CJK SC"/>
        <charset val="134"/>
      </rPr>
      <t>折叠组件；</t>
    </r>
    <r>
      <rPr>
        <sz val="9"/>
        <rFont val="Arial"/>
        <charset val="1"/>
      </rPr>
      <t>PDF</t>
    </r>
    <r>
      <rPr>
        <sz val="9"/>
        <rFont val="Noto Sans CJK SC"/>
        <charset val="134"/>
      </rPr>
      <t>预览</t>
    </r>
    <r>
      <rPr>
        <sz val="9"/>
        <rFont val="Arial"/>
        <charset val="1"/>
      </rPr>
      <t>/</t>
    </r>
    <r>
      <rPr>
        <sz val="9"/>
        <rFont val="Noto Sans CJK SC"/>
        <charset val="134"/>
      </rPr>
      <t>下载</t>
    </r>
  </si>
  <si>
    <t>投保案例</t>
  </si>
  <si>
    <t>真实理赔案例列表（最多5条）；案例含描述/赔付金额/时间；运营后台配置；首次进入Tab时懒加载</t>
  </si>
  <si>
    <r>
      <rPr>
        <sz val="9"/>
        <rFont val="Arial"/>
        <charset val="1"/>
      </rPr>
      <t>Tab</t>
    </r>
    <r>
      <rPr>
        <sz val="9"/>
        <rFont val="Noto Sans CJK SC"/>
        <charset val="134"/>
      </rPr>
      <t>懒加载；金额格式化显示</t>
    </r>
  </si>
  <si>
    <t>常见问题</t>
  </si>
  <si>
    <r>
      <rPr>
        <sz val="9"/>
        <rFont val="Arial"/>
        <charset val="1"/>
      </rPr>
      <t>FAQ</t>
    </r>
    <r>
      <rPr>
        <sz val="9"/>
        <rFont val="Noto Sans CJK SC"/>
        <charset val="134"/>
      </rPr>
      <t>手风琴列表；支持前端关键词过滤（</t>
    </r>
    <r>
      <rPr>
        <sz val="9"/>
        <rFont val="Arial"/>
        <charset val="1"/>
      </rPr>
      <t>JS</t>
    </r>
    <r>
      <rPr>
        <sz val="9"/>
        <rFont val="Noto Sans CJK SC"/>
        <charset val="134"/>
      </rPr>
      <t>搜索，无需接口）；展开</t>
    </r>
    <r>
      <rPr>
        <sz val="9"/>
        <rFont val="Arial"/>
        <charset val="1"/>
      </rPr>
      <t>/</t>
    </r>
    <r>
      <rPr>
        <sz val="9"/>
        <rFont val="Noto Sans CJK SC"/>
        <charset val="134"/>
      </rPr>
      <t>收起动画</t>
    </r>
  </si>
  <si>
    <t>手风琴Accordion；前端关键词过滤</t>
  </si>
  <si>
    <t>用户评价</t>
  </si>
  <si>
    <t>评价列表分页（好评/中评/差评/有图筛选）；综合评分=AVG异步更新；提交评价需已购该产品保单且保单生效；内容安全API检测；图片最多9张；匿名显示脱敏昵称；官方回复展示</t>
  </si>
  <si>
    <t>内容安全API；评价图片上传；AVG评分异步计算；分页加载</t>
  </si>
  <si>
    <t>立即投保</t>
  </si>
  <si>
    <t>校验登录（未登录弹登录）→实名认证（未认证跳认证页）→按product_type跳车险或非车险投保流程；携带productId参数传递</t>
  </si>
  <si>
    <t>投保前置条件链式校验；路由守卫</t>
  </si>
  <si>
    <t>车险投保</t>
  </si>
  <si>
    <t>车牌识别</t>
  </si>
  <si>
    <t>输入框支持手动录入（省份简称键盘+字母数字键盘）；拍照OCR识别车牌（调腾讯/阿里OCR接口）；输入车牌后查历史投保记录回填车辆信息</t>
  </si>
  <si>
    <r>
      <rPr>
        <sz val="9"/>
        <rFont val="Arial"/>
        <charset val="1"/>
      </rPr>
      <t>OCR SDK</t>
    </r>
    <r>
      <rPr>
        <sz val="9"/>
        <rFont val="Noto Sans CJK SC"/>
        <charset val="134"/>
      </rPr>
      <t>集成；省份键盘组件；车牌格式正则校验</t>
    </r>
  </si>
  <si>
    <t>车型选择</t>
  </si>
  <si>
    <t>行驶证OCR识别自动填充；品牌→车系→车型三级联动（首字母分组搜索）；VIN码17位格式校验（不含I/O/Q）；初登日期不能晚于今日；购置价1-500万校验；选车型后自动填充参考价和座位数；数据缓存3600s</t>
  </si>
  <si>
    <t>三级联动组件；VIN格式校验；车辆数据库接口；数据缓存</t>
  </si>
  <si>
    <t>方案选择</t>
  </si>
  <si>
    <t>交强险固定展示；商业险多选（车损险+三者险必须至少选一）；三者险保额档位20/50/100/200万；险种联动（勾选车损才能选涉水/自燃）；底部实时预估保费展示</t>
  </si>
  <si>
    <t>险种联动规则；多险种组合；前端预估保费公式</t>
  </si>
  <si>
    <t>并发调3-5家保司报价接口（线程池）；单家超时5秒跳过；前端每2秒轮询报价状态；先到先展示；各家报价卡含商业险+交强险明细；报价结果存库</t>
  </si>
  <si>
    <t>并发报价线程池；轮询接口；超时熔断；报价结果缓存</t>
  </si>
  <si>
    <t>投保信息填写</t>
  </si>
  <si>
    <t>分三区块：投保人/被保车主/车险特有字段；可同步投保人与车主信息；起保日期最早明天最晚30天后；上年出险次数影响折扣；勾选协议后提交；提交后同步触发核保</t>
  </si>
  <si>
    <t>表单校验；日期范围限制；核保接口同步调用；拒保/手动核保结果展示</t>
  </si>
  <si>
    <t>照片上传</t>
  </si>
  <si>
    <t>上传行驶证/车辆照片（必传行驶证正面）；图片压缩处理（压缩到&lt;500KB）；OSS直传（前端获取临时凭证直传）；预览缩略图可删除</t>
  </si>
  <si>
    <t>图片压缩（canvas）；OSS直传STS临时凭证；预览组件</t>
  </si>
  <si>
    <t>非车险投保</t>
  </si>
  <si>
    <t>健康告知</t>
  </si>
  <si>
    <t>问卷题目树形展示（含父子题跳题逻辑）；关键题选是直接判不可承保并提示；非关键题选是进入智能核保；所有必答题回答完才可提交；回答结果JSON入库关联apply_id；顶部进度条</t>
  </si>
  <si>
    <t>树形题目跳题逻辑；条件显示/隐藏子题；问卷状态持久化</t>
  </si>
  <si>
    <t>智能核保</t>
  </si>
  <si>
    <t>健康告知提交后触发；规则引擎匹配（条件JSON比对）；多规则命中取最严结果（拒保&gt;除外&gt;加费&gt;标准）；结果：标准/加费（展示加费比例）/除外（展示除外责任）/拒保（展示原因+推荐其他产品）</t>
  </si>
  <si>
    <t>规则引擎决策树；多规则优先级合并；拒保后产品推荐</t>
  </si>
  <si>
    <t>职业选择</t>
  </si>
  <si>
    <t>二级职业分类弹窗（支持搜索）；高风险职业（risk_level≥3）标注橙色标签并给提示；选择高风险职业后重新触发核保检查；职业数据缓存86400s</t>
  </si>
  <si>
    <t>二级分类弹窗搜索；高风险职业标注；联动核保</t>
  </si>
  <si>
    <t>受益人</t>
  </si>
  <si>
    <t>支持法定/指定受益人切换；指定最多5人；同顺序受益比例合计必须=100%（实时校验）；证件号格式校验；受益顺序1/2设置；关联apply_id入库</t>
  </si>
  <si>
    <t>比例合计实时校验；多人受益人列表增删</t>
  </si>
  <si>
    <t>投保确认</t>
  </si>
  <si>
    <t>汇总确认页：产品/保障期/保费/投保人/被保人/受益人/优惠信息；实付金额动态计算；勾选三份协议（投保须知/条款/个人信息授权）；确认后创建Order（status=0待支付，过期时间30分钟）</t>
  </si>
  <si>
    <t>协议链接跳转；投保前置步骤完整性校验；Order幂等创建</t>
  </si>
  <si>
    <t>支付模块</t>
  </si>
  <si>
    <t>支付方式</t>
  </si>
  <si>
    <t>聚合支付页：微信/支付宝/银行卡/余额四种方式；选银行卡显示已绑卡列表；余额不足置灰；最终金额=保费-优惠券-积分抵扣；金额=0直接完成支付；调支付SDK获取prepayId/payInfo给前端；回调验签后更新订单状态并发MQ触发保单生成</t>
  </si>
  <si>
    <t>聚合支付SDK（微信+支付宝）；回调验签防重；幂等处理；余额支付密码验证</t>
  </si>
  <si>
    <t>优惠券</t>
  </si>
  <si>
    <t>可用券列表（满足金额+未过期+适用险种）；不可用券置灰显示原因；选择后实时更新应付金额；锁定券防重复使用；支付成功后确认核销；支付失败/取消后释放券</t>
  </si>
  <si>
    <t>优惠券可用性实时计算；锁定/核销状态机；适用险种过滤</t>
  </si>
  <si>
    <t>积分抵扣</t>
  </si>
  <si>
    <t>可抵扣上限=订单金额10%；最小使用单位100积分；100积分=1元（后台可配置）；支付成功确认扣减，失败归还；实时显示可抵扣金额</t>
  </si>
  <si>
    <t>积分换算配置化；临时冻结+确认扣减逻辑</t>
  </si>
  <si>
    <t>支付确认页</t>
  </si>
  <si>
    <t>展示订单摘要+选择的支付方式+最终金额；银行卡/余额支付弹出6位密码框（输满自动提交）；密码错误≥5次锁定24小时；忘记密码跳手机验证重置流程</t>
  </si>
  <si>
    <r>
      <rPr>
        <sz val="9"/>
        <rFont val="Arial"/>
        <charset val="1"/>
      </rPr>
      <t>6</t>
    </r>
    <r>
      <rPr>
        <sz val="9"/>
        <rFont val="Noto Sans CJK SC"/>
        <charset val="134"/>
      </rPr>
      <t>位密码框组件；错误次数</t>
    </r>
    <r>
      <rPr>
        <sz val="9"/>
        <rFont val="Arial"/>
        <charset val="1"/>
      </rPr>
      <t>Redis</t>
    </r>
    <r>
      <rPr>
        <sz val="9"/>
        <rFont val="Noto Sans CJK SC"/>
        <charset val="134"/>
      </rPr>
      <t>锁定；密码</t>
    </r>
    <r>
      <rPr>
        <sz val="9"/>
        <rFont val="Arial"/>
        <charset val="1"/>
      </rPr>
      <t>MD5</t>
    </r>
    <r>
      <rPr>
        <sz val="9"/>
        <rFont val="Noto Sans CJK SC"/>
        <charset val="134"/>
      </rPr>
      <t>加盐存储</t>
    </r>
  </si>
  <si>
    <t>支付结果</t>
  </si>
  <si>
    <t>支付结果页：成功/处理中/失败三种状态；前端每3秒轮询最多10次；轮询结束仍pending则主动调三方查单接口同步状态；成功后发短信+AppPush通知用户</t>
  </si>
  <si>
    <t>支付轮询策略；三方主动查单；AppPush集成；短信通知</t>
  </si>
  <si>
    <r>
      <rPr>
        <sz val="9"/>
        <rFont val="Arial"/>
        <charset val="1"/>
      </rPr>
      <t>5</t>
    </r>
    <r>
      <rPr>
        <sz val="9"/>
        <rFont val="Noto Sans CJK SC"/>
        <charset val="134"/>
      </rPr>
      <t>个</t>
    </r>
    <r>
      <rPr>
        <sz val="9"/>
        <rFont val="Arial"/>
        <charset val="1"/>
      </rPr>
      <t>Tab</t>
    </r>
    <r>
      <rPr>
        <sz val="9"/>
        <rFont val="Noto Sans CJK SC"/>
        <charset val="134"/>
      </rPr>
      <t>（全部</t>
    </r>
    <r>
      <rPr>
        <sz val="9"/>
        <rFont val="Arial"/>
        <charset val="1"/>
      </rPr>
      <t>/</t>
    </r>
    <r>
      <rPr>
        <sz val="9"/>
        <rFont val="Noto Sans CJK SC"/>
        <charset val="134"/>
      </rPr>
      <t>生效中</t>
    </r>
    <r>
      <rPr>
        <sz val="9"/>
        <rFont val="Arial"/>
        <charset val="1"/>
      </rPr>
      <t>/</t>
    </r>
    <r>
      <rPr>
        <sz val="9"/>
        <rFont val="Noto Sans CJK SC"/>
        <charset val="134"/>
      </rPr>
      <t>已过期</t>
    </r>
    <r>
      <rPr>
        <sz val="9"/>
        <rFont val="Arial"/>
        <charset val="1"/>
      </rPr>
      <t>/</t>
    </r>
    <r>
      <rPr>
        <sz val="9"/>
        <rFont val="Noto Sans CJK SC"/>
        <charset val="134"/>
      </rPr>
      <t>待支付</t>
    </r>
    <r>
      <rPr>
        <sz val="9"/>
        <rFont val="Arial"/>
        <charset val="1"/>
      </rPr>
      <t>/</t>
    </r>
    <r>
      <rPr>
        <sz val="9"/>
        <rFont val="Noto Sans CJK SC"/>
        <charset val="134"/>
      </rPr>
      <t>待核保）；卡片含产品名</t>
    </r>
    <r>
      <rPr>
        <sz val="9"/>
        <rFont val="Arial"/>
        <charset val="1"/>
      </rPr>
      <t>/</t>
    </r>
    <r>
      <rPr>
        <sz val="9"/>
        <rFont val="Noto Sans CJK SC"/>
        <charset val="134"/>
      </rPr>
      <t>保司</t>
    </r>
    <r>
      <rPr>
        <sz val="9"/>
        <rFont val="Arial"/>
        <charset val="1"/>
      </rPr>
      <t>/</t>
    </r>
    <r>
      <rPr>
        <sz val="9"/>
        <rFont val="Noto Sans CJK SC"/>
        <charset val="134"/>
      </rPr>
      <t>期限</t>
    </r>
    <r>
      <rPr>
        <sz val="9"/>
        <rFont val="Arial"/>
        <charset val="1"/>
      </rPr>
      <t>/</t>
    </r>
    <r>
      <rPr>
        <sz val="9"/>
        <rFont val="Noto Sans CJK SC"/>
        <charset val="134"/>
      </rPr>
      <t>被保人</t>
    </r>
    <r>
      <rPr>
        <sz val="9"/>
        <rFont val="Arial"/>
        <charset val="1"/>
      </rPr>
      <t>/</t>
    </r>
    <r>
      <rPr>
        <sz val="9"/>
        <rFont val="Noto Sans CJK SC"/>
        <charset val="134"/>
      </rPr>
      <t>状态标签；距到期≤</t>
    </r>
    <r>
      <rPr>
        <sz val="9"/>
        <rFont val="Arial"/>
        <charset val="1"/>
      </rPr>
      <t>30</t>
    </r>
    <r>
      <rPr>
        <sz val="9"/>
        <rFont val="Noto Sans CJK SC"/>
        <charset val="134"/>
      </rPr>
      <t>天显示红色提示；待支付保单展示过期倒计时；点击跳详情</t>
    </r>
  </si>
  <si>
    <t>多状态Tab分页；到期提醒计算；倒计时组件</t>
  </si>
  <si>
    <t>保单详情</t>
  </si>
  <si>
    <t>完整保单信息展示：保单号/产品/保司/期限/投保人/被保人/受益人/保障清单/保费明细/支付信息；底部按状态动态显示按钮（下载保单/申请理赔/续保）</t>
  </si>
  <si>
    <t>多表关联查询；按状态显示操作按钮</t>
  </si>
  <si>
    <t>电子保单</t>
  </si>
  <si>
    <t>点击下载：若OSS已有PDF直接返回签名URL（有效期5分钟）；若无则调保司接口获取或用iText/JasperReport按模板生成PDF上传OSS；支持浏览器下载和分享微信</t>
  </si>
  <si>
    <r>
      <rPr>
        <sz val="9"/>
        <rFont val="Arial"/>
        <charset val="1"/>
      </rPr>
      <t>PDF</t>
    </r>
    <r>
      <rPr>
        <sz val="9"/>
        <rFont val="Noto Sans CJK SC"/>
        <charset val="134"/>
      </rPr>
      <t>生成（</t>
    </r>
    <r>
      <rPr>
        <sz val="9"/>
        <rFont val="Arial"/>
        <charset val="1"/>
      </rPr>
      <t>iText/JasperReport</t>
    </r>
    <r>
      <rPr>
        <sz val="9"/>
        <rFont val="Noto Sans CJK SC"/>
        <charset val="134"/>
      </rPr>
      <t>）；</t>
    </r>
    <r>
      <rPr>
        <sz val="9"/>
        <rFont val="Arial"/>
        <charset val="1"/>
      </rPr>
      <t>OSS</t>
    </r>
    <r>
      <rPr>
        <sz val="9"/>
        <rFont val="Noto Sans CJK SC"/>
        <charset val="134"/>
      </rPr>
      <t>签名</t>
    </r>
    <r>
      <rPr>
        <sz val="9"/>
        <rFont val="Arial"/>
        <charset val="1"/>
      </rPr>
      <t>URL</t>
    </r>
    <r>
      <rPr>
        <sz val="9"/>
        <rFont val="Noto Sans CJK SC"/>
        <charset val="134"/>
      </rPr>
      <t>；微信分享文件</t>
    </r>
  </si>
  <si>
    <t>无需登录的公开接口；输入保单号查询关键信息（脱敏展示）；返回保单号/产品/被保人脱敏/保司/期限；记录验真日志；保单上的二维码包含验真URL</t>
  </si>
  <si>
    <t>无登录公开接口；脱敏处理；验真日志；二维码生成</t>
  </si>
  <si>
    <t>保单变更</t>
  </si>
  <si>
    <t>变更类型：联系方式/受益人/地址（按保司支持范围显示）；提交后status=审核中；运营后台审核通过后更新保单字段并推送通知；变更记录old_value/new_value JSON存储</t>
  </si>
  <si>
    <t>变更类型按保司配置；审核流程；变更记录存档</t>
  </si>
  <si>
    <t>全家保单</t>
  </si>
  <si>
    <t>外部保单导入：手动录入（保司/产品名/保单号/起止日期/被保人/保额）或上传图片/PDF由OCR识别填充；导入保单标注来源=外部；统一到期提醒；OCR识别保单关键字段</t>
  </si>
  <si>
    <r>
      <rPr>
        <sz val="9"/>
        <rFont val="Arial"/>
        <charset val="1"/>
      </rPr>
      <t>OCR</t>
    </r>
    <r>
      <rPr>
        <sz val="9"/>
        <rFont val="Noto Sans CJK SC"/>
        <charset val="134"/>
      </rPr>
      <t>识别保单字段；外部保单来源标注；与平台保单统一到期提醒</t>
    </r>
  </si>
  <si>
    <t>理赔服务</t>
  </si>
  <si>
    <t>报案</t>
  </si>
  <si>
    <t>选择出险保单（仅生效中）→填写出险时间/地点（GPS定位）/原因/伤亡情况/预估损失/联系人/现场图（必传≥1张）；出险时间需在保障期内；生成报案号（CLME+日期+流水）；异步发短信给联系人+通知运营后台</t>
  </si>
  <si>
    <r>
      <rPr>
        <sz val="9"/>
        <rFont val="Arial"/>
        <charset val="1"/>
      </rPr>
      <t>GPS</t>
    </r>
    <r>
      <rPr>
        <sz val="9"/>
        <rFont val="Noto Sans CJK SC"/>
        <charset val="134"/>
      </rPr>
      <t>定位；图片上传</t>
    </r>
    <r>
      <rPr>
        <sz val="9"/>
        <rFont val="Arial"/>
        <charset val="1"/>
      </rPr>
      <t>OSS</t>
    </r>
    <r>
      <rPr>
        <sz val="9"/>
        <rFont val="Noto Sans CJK SC"/>
        <charset val="134"/>
      </rPr>
      <t>；报案号生成规则；出险时间与保障期校验</t>
    </r>
  </si>
  <si>
    <t>材料上传</t>
  </si>
  <si>
    <t>根据险种+出险类型动态展示所需材料清单（后台配置）；必传材料*标注；每类材料可多文件；支持图片和PDF；文件大小≤10MB；支持多次补传；所有必传材料完成后提交按钮高亮；提交后status=材料审核中</t>
  </si>
  <si>
    <t>动态材料清单模板；OCR识别票据（选）；文件类型/大小校验；多次补传</t>
  </si>
  <si>
    <t>进度查询</t>
  </si>
  <si>
    <t>时间轴展示理赔进度节点；状态：已报案→材料审核→理赔审核→已赔付/已拒赔；已赔付展示赔付金额/时间/收款账号脱敏；已拒赔展示原因+申请复核按钮；补材料通知红色提示+补传入口</t>
  </si>
  <si>
    <t>时间轴组件；进度节点多状态展示；赔付信息脱敏</t>
  </si>
  <si>
    <t>理赔指南</t>
  </si>
  <si>
    <t>按险种分类的理赔流程图文说明（时间轴样式）；静态内容运营后台配置；富文本渲染；下拉刷新</t>
  </si>
  <si>
    <t>富文本渲染；险种分类Tab；静态内容CDN缓存</t>
  </si>
  <si>
    <t>增值服务</t>
  </si>
  <si>
    <t>保额计算器</t>
  </si>
  <si>
    <t>问卷式录入（性别/年龄/婚姻/收入/负债/现有保障）；算法计算各险种推荐保额（寿险=年收入×10+负债；重疾=年收入×3-5）；结果页展示推荐保额+分析说明+关联产品推荐；计算结果可保存历史查看</t>
  </si>
  <si>
    <t>保额计算算法；结果关联产品推荐；可视化展示</t>
  </si>
  <si>
    <t>保费计算器</t>
  </si>
  <si>
    <t>选险种类型+输入简单参数（年龄/保额）→返回预估保费区间（大致范围，非精确报价）；关联展示同类主流产品；计算结果不作为承保依据需注明</t>
  </si>
  <si>
    <t>简单参数保费估算模型；产品推荐关联</t>
  </si>
  <si>
    <t>家庭保障分析</t>
  </si>
  <si>
    <t>基于已录入家庭成员信息+各自有效保单；按险种（寿险/医疗/意外/重疾）四维度雷达图可视化；展示已有保障vs建议保障缺口；文字解读缺口说明；点击维度跳转对应险种产品列表；数据实时计算不缓存</t>
  </si>
  <si>
    <t>雷达图可视化（ECharts）；多成员保单聚合分析；四维度缺口计算</t>
  </si>
  <si>
    <t>保险学堂</t>
  </si>
  <si>
    <t>分类文章列表（Tab：保险基础/车险/理财/健康/理赔攻略）；支持收藏文章；阅读数Redis异步累计；文章详情WebView渲染富文本；复用tb_article表通过category_id区分</t>
  </si>
  <si>
    <t>文章分类Tab；富文本渲染；阅读数异步更新；收藏功能复用</t>
  </si>
  <si>
    <t>在线客服</t>
  </si>
  <si>
    <t>智能客服（关键词匹配知识库/第三方SDK）+人工客服（WebSocket实时通讯）；快捷问题按钮；转人工排队展示排队号；支持文字/图片/文件发送；10分钟超时提示；结束后满意度评分；非服务时间（9:00-21:00外）离线留言</t>
  </si>
  <si>
    <r>
      <rPr>
        <sz val="9"/>
        <rFont val="Arial"/>
        <charset val="1"/>
      </rPr>
      <t>WebSocket</t>
    </r>
    <r>
      <rPr>
        <sz val="9"/>
        <rFont val="Noto Sans CJK SC"/>
        <charset val="134"/>
      </rPr>
      <t>实时通讯；</t>
    </r>
    <r>
      <rPr>
        <sz val="9"/>
        <rFont val="Arial"/>
        <charset val="1"/>
      </rPr>
      <t>Redis Pub/Sub</t>
    </r>
    <r>
      <rPr>
        <sz val="9"/>
        <rFont val="Noto Sans CJK SC"/>
        <charset val="134"/>
      </rPr>
      <t>消息路由；智能客服</t>
    </r>
    <r>
      <rPr>
        <sz val="9"/>
        <rFont val="Arial"/>
        <charset val="1"/>
      </rPr>
      <t>SDK</t>
    </r>
    <r>
      <rPr>
        <sz val="9"/>
        <rFont val="Noto Sans CJK SC"/>
        <charset val="134"/>
      </rPr>
      <t>对接；</t>
    </r>
    <r>
      <rPr>
        <sz val="9"/>
        <rFont val="Arial"/>
        <charset val="1"/>
      </rPr>
      <t>IM</t>
    </r>
    <r>
      <rPr>
        <sz val="9"/>
        <rFont val="Noto Sans CJK SC"/>
        <charset val="134"/>
      </rPr>
      <t>消息持久化</t>
    </r>
  </si>
  <si>
    <t>保险科普与需求激发</t>
  </si>
  <si>
    <t>保险知识测评（互动问卷）</t>
  </si>
  <si>
    <r>
      <rPr>
        <sz val="11"/>
        <color theme="1"/>
        <rFont val="Noto Sans CJK SC"/>
        <charset val="134"/>
      </rPr>
      <t>用户完成</t>
    </r>
    <r>
      <rPr>
        <sz val="11"/>
        <color theme="1"/>
        <rFont val="宋体"/>
        <charset val="134"/>
      </rPr>
      <t>5-10</t>
    </r>
    <r>
      <rPr>
        <sz val="11"/>
        <color theme="1"/>
        <rFont val="Noto Sans CJK SC"/>
        <charset val="134"/>
      </rPr>
      <t>题趣味保险知识问答；根据作答情况输出「保险认知等级」（小白</t>
    </r>
    <r>
      <rPr>
        <sz val="11"/>
        <color theme="1"/>
        <rFont val="宋体"/>
        <charset val="134"/>
      </rPr>
      <t>/</t>
    </r>
    <r>
      <rPr>
        <sz val="11"/>
        <color theme="1"/>
        <rFont val="Noto Sans CJK SC"/>
        <charset val="134"/>
      </rPr>
      <t>入门</t>
    </r>
    <r>
      <rPr>
        <sz val="11"/>
        <color theme="1"/>
        <rFont val="宋体"/>
        <charset val="134"/>
      </rPr>
      <t>/</t>
    </r>
    <r>
      <rPr>
        <sz val="11"/>
        <color theme="1"/>
        <rFont val="Noto Sans CJK SC"/>
        <charset val="134"/>
      </rPr>
      <t>进阶</t>
    </r>
    <r>
      <rPr>
        <sz val="11"/>
        <color theme="1"/>
        <rFont val="宋体"/>
        <charset val="134"/>
      </rPr>
      <t>/</t>
    </r>
    <r>
      <rPr>
        <sz val="11"/>
        <color theme="1"/>
        <rFont val="Noto Sans CJK SC"/>
        <charset val="134"/>
      </rPr>
      <t>达人）；每个等级对应个性化产品推荐策略；测评结果可分享朋友圈海报（</t>
    </r>
    <r>
      <rPr>
        <sz val="11"/>
        <color theme="1"/>
        <rFont val="宋体"/>
        <charset val="134"/>
      </rPr>
      <t>OSS</t>
    </r>
    <r>
      <rPr>
        <sz val="11"/>
        <color theme="1"/>
        <rFont val="Noto Sans CJK SC"/>
        <charset val="134"/>
      </rPr>
      <t>生成）；每月更新题库，用户可重测。</t>
    </r>
  </si>
  <si>
    <r>
      <rPr>
        <sz val="11"/>
        <color theme="1"/>
        <rFont val="Noto Sans CJK SC"/>
        <charset val="134"/>
      </rPr>
      <t>测评题库配置化；等级算法；海报分享图片生成</t>
    </r>
    <r>
      <rPr>
        <sz val="11"/>
        <color theme="1"/>
        <rFont val="宋体"/>
        <charset val="134"/>
      </rPr>
      <t>OSS</t>
    </r>
  </si>
  <si>
    <t>保险需求雷达测评</t>
  </si>
  <si>
    <r>
      <rPr>
        <sz val="11"/>
        <color theme="1"/>
        <rFont val="Noto Sans CJK SC"/>
        <charset val="134"/>
      </rPr>
      <t>用户回答</t>
    </r>
    <r>
      <rPr>
        <sz val="11"/>
        <color theme="1"/>
        <rFont val="宋体"/>
        <charset val="134"/>
      </rPr>
      <t>6</t>
    </r>
    <r>
      <rPr>
        <sz val="11"/>
        <color theme="1"/>
        <rFont val="Noto Sans CJK SC"/>
        <charset val="134"/>
      </rPr>
      <t>维问题（家庭</t>
    </r>
    <r>
      <rPr>
        <sz val="11"/>
        <color theme="1"/>
        <rFont val="宋体"/>
        <charset val="134"/>
      </rPr>
      <t>/</t>
    </r>
    <r>
      <rPr>
        <sz val="11"/>
        <color theme="1"/>
        <rFont val="Noto Sans CJK SC"/>
        <charset val="134"/>
      </rPr>
      <t>收入</t>
    </r>
    <r>
      <rPr>
        <sz val="11"/>
        <color theme="1"/>
        <rFont val="宋体"/>
        <charset val="134"/>
      </rPr>
      <t>/</t>
    </r>
    <r>
      <rPr>
        <sz val="11"/>
        <color theme="1"/>
        <rFont val="Noto Sans CJK SC"/>
        <charset val="134"/>
      </rPr>
      <t>健康</t>
    </r>
    <r>
      <rPr>
        <sz val="11"/>
        <color theme="1"/>
        <rFont val="宋体"/>
        <charset val="134"/>
      </rPr>
      <t>/</t>
    </r>
    <r>
      <rPr>
        <sz val="11"/>
        <color theme="1"/>
        <rFont val="Noto Sans CJK SC"/>
        <charset val="134"/>
      </rPr>
      <t>资产</t>
    </r>
    <r>
      <rPr>
        <sz val="11"/>
        <color theme="1"/>
        <rFont val="宋体"/>
        <charset val="134"/>
      </rPr>
      <t>/</t>
    </r>
    <r>
      <rPr>
        <sz val="11"/>
        <color theme="1"/>
        <rFont val="Noto Sans CJK SC"/>
        <charset val="134"/>
      </rPr>
      <t>负债</t>
    </r>
    <r>
      <rPr>
        <sz val="11"/>
        <color theme="1"/>
        <rFont val="宋体"/>
        <charset val="134"/>
      </rPr>
      <t>/</t>
    </r>
    <r>
      <rPr>
        <sz val="11"/>
        <color theme="1"/>
        <rFont val="Noto Sans CJK SC"/>
        <charset val="134"/>
      </rPr>
      <t>保障现状）→雷达图展示各维度得分→输出「家庭保障缺口报告」</t>
    </r>
    <r>
      <rPr>
        <sz val="11"/>
        <color theme="1"/>
        <rFont val="宋体"/>
        <charset val="134"/>
      </rPr>
      <t>PDF</t>
    </r>
    <r>
      <rPr>
        <sz val="11"/>
        <color theme="1"/>
        <rFont val="Noto Sans CJK SC"/>
        <charset val="134"/>
      </rPr>
      <t>（调</t>
    </r>
    <r>
      <rPr>
        <sz val="11"/>
        <color theme="1"/>
        <rFont val="宋体"/>
        <charset val="134"/>
      </rPr>
      <t>AI</t>
    </r>
    <r>
      <rPr>
        <sz val="11"/>
        <color theme="1"/>
        <rFont val="Noto Sans CJK SC"/>
        <charset val="134"/>
      </rPr>
      <t>保障规划引擎异步生成）→引导认领优化方案；结果推送给归因业务员（若有）。</t>
    </r>
  </si>
  <si>
    <r>
      <rPr>
        <sz val="11"/>
        <color theme="1"/>
        <rFont val="Noto Sans CJK SC"/>
        <charset val="134"/>
      </rPr>
      <t>雷达图</t>
    </r>
    <r>
      <rPr>
        <sz val="11"/>
        <color theme="1"/>
        <rFont val="宋体"/>
        <charset val="134"/>
      </rPr>
      <t>ECharts</t>
    </r>
    <r>
      <rPr>
        <sz val="11"/>
        <color theme="1"/>
        <rFont val="Noto Sans CJK SC"/>
        <charset val="134"/>
      </rPr>
      <t>；</t>
    </r>
    <r>
      <rPr>
        <sz val="11"/>
        <color theme="1"/>
        <rFont val="宋体"/>
        <charset val="134"/>
      </rPr>
      <t>AI</t>
    </r>
    <r>
      <rPr>
        <sz val="11"/>
        <color theme="1"/>
        <rFont val="Noto Sans CJK SC"/>
        <charset val="134"/>
      </rPr>
      <t>保障规划引擎联动；</t>
    </r>
    <r>
      <rPr>
        <sz val="11"/>
        <color theme="1"/>
        <rFont val="宋体"/>
        <charset val="134"/>
      </rPr>
      <t>PDF</t>
    </r>
    <r>
      <rPr>
        <sz val="11"/>
        <color theme="1"/>
        <rFont val="Noto Sans CJK SC"/>
        <charset val="134"/>
      </rPr>
      <t>异步生成</t>
    </r>
  </si>
  <si>
    <t>营销转化增强</t>
  </si>
  <si>
    <t>拼团购险</t>
  </si>
  <si>
    <r>
      <rPr>
        <sz val="11"/>
        <color theme="1"/>
        <rFont val="Noto Sans CJK SC"/>
        <charset val="134"/>
      </rPr>
      <t>发起人选择支持拼团的产品发起拼团（</t>
    </r>
    <r>
      <rPr>
        <sz val="11"/>
        <color theme="1"/>
        <rFont val="宋体"/>
        <charset val="134"/>
      </rPr>
      <t>2-5</t>
    </r>
    <r>
      <rPr>
        <sz val="11"/>
        <color theme="1"/>
        <rFont val="Noto Sans CJK SC"/>
        <charset val="134"/>
      </rPr>
      <t>人，</t>
    </r>
    <r>
      <rPr>
        <sz val="11"/>
        <color theme="1"/>
        <rFont val="宋体"/>
        <charset val="134"/>
      </rPr>
      <t>72</t>
    </r>
    <r>
      <rPr>
        <sz val="11"/>
        <color theme="1"/>
        <rFont val="Noto Sans CJK SC"/>
        <charset val="134"/>
      </rPr>
      <t>小时截止）→生成拼团海报→邀请好友参团→成团后所有参团人享受拼团价（团购折扣后台配置）→未成团自动退款；拼团专属价格与普通价格分开存储；成团人数实时展示。</t>
    </r>
  </si>
  <si>
    <r>
      <rPr>
        <sz val="11"/>
        <color theme="1"/>
        <rFont val="Noto Sans CJK SC"/>
        <charset val="134"/>
      </rPr>
      <t>拼团状态机；邀请链接生成；成团</t>
    </r>
    <r>
      <rPr>
        <sz val="11"/>
        <color theme="1"/>
        <rFont val="宋体"/>
        <charset val="134"/>
      </rPr>
      <t>/</t>
    </r>
    <r>
      <rPr>
        <sz val="11"/>
        <color theme="1"/>
        <rFont val="Noto Sans CJK SC"/>
        <charset val="134"/>
      </rPr>
      <t>退款逻辑；</t>
    </r>
    <r>
      <rPr>
        <sz val="11"/>
        <color theme="1"/>
        <rFont val="宋体"/>
        <charset val="134"/>
      </rPr>
      <t>Redis</t>
    </r>
    <r>
      <rPr>
        <sz val="11"/>
        <color theme="1"/>
        <rFont val="Noto Sans CJK SC"/>
        <charset val="134"/>
      </rPr>
      <t>计数实时</t>
    </r>
  </si>
  <si>
    <t>限时秒杀</t>
  </si>
  <si>
    <r>
      <rPr>
        <sz val="11"/>
        <color theme="1"/>
        <rFont val="Noto Sans CJK SC"/>
        <charset val="134"/>
      </rPr>
      <t>运营配置限时秒杀活动（活动时间</t>
    </r>
    <r>
      <rPr>
        <sz val="11"/>
        <color theme="1"/>
        <rFont val="宋体"/>
        <charset val="134"/>
      </rPr>
      <t>/</t>
    </r>
    <r>
      <rPr>
        <sz val="11"/>
        <color theme="1"/>
        <rFont val="Noto Sans CJK SC"/>
        <charset val="134"/>
      </rPr>
      <t>秒杀价</t>
    </r>
    <r>
      <rPr>
        <sz val="11"/>
        <color theme="1"/>
        <rFont val="宋体"/>
        <charset val="134"/>
      </rPr>
      <t>/</t>
    </r>
    <r>
      <rPr>
        <sz val="11"/>
        <color theme="1"/>
        <rFont val="Noto Sans CJK SC"/>
        <charset val="134"/>
      </rPr>
      <t>库存</t>
    </r>
    <r>
      <rPr>
        <sz val="11"/>
        <color theme="1"/>
        <rFont val="宋体"/>
        <charset val="134"/>
      </rPr>
      <t>/</t>
    </r>
    <r>
      <rPr>
        <sz val="11"/>
        <color theme="1"/>
        <rFont val="Noto Sans CJK SC"/>
        <charset val="134"/>
      </rPr>
      <t>每人限购数量）；倒计时结束自动恢复原价；下单通过</t>
    </r>
    <r>
      <rPr>
        <sz val="11"/>
        <color theme="1"/>
        <rFont val="宋体"/>
        <charset val="134"/>
      </rPr>
      <t>Redis+Lua</t>
    </r>
    <r>
      <rPr>
        <sz val="11"/>
        <color theme="1"/>
        <rFont val="Noto Sans CJK SC"/>
        <charset val="134"/>
      </rPr>
      <t>原子操作扣减库存防超卖；用户购买后在保单详情标注「秒杀特价」标签；秒杀商品单独在爆款专区展示。</t>
    </r>
  </si>
  <si>
    <r>
      <rPr>
        <sz val="11"/>
        <color theme="1"/>
        <rFont val="宋体"/>
        <charset val="134"/>
      </rPr>
      <t>Redis Lua</t>
    </r>
    <r>
      <rPr>
        <sz val="11"/>
        <color theme="1"/>
        <rFont val="Noto Sans CJK SC"/>
        <charset val="134"/>
      </rPr>
      <t>原子扣减库存；防超卖；倒计时精准</t>
    </r>
  </si>
  <si>
    <t>邀请好友得积分（裂变）</t>
  </si>
  <si>
    <r>
      <rPr>
        <sz val="11"/>
        <color theme="1"/>
        <rFont val="Noto Sans CJK SC"/>
        <charset val="134"/>
      </rPr>
      <t>用户生成专属邀请码</t>
    </r>
    <r>
      <rPr>
        <sz val="11"/>
        <color theme="1"/>
        <rFont val="宋体"/>
        <charset val="134"/>
      </rPr>
      <t>/</t>
    </r>
    <r>
      <rPr>
        <sz val="11"/>
        <color theme="1"/>
        <rFont val="Noto Sans CJK SC"/>
        <charset val="134"/>
      </rPr>
      <t>海报→好友通过邀请链接注册→双方各得</t>
    </r>
    <r>
      <rPr>
        <sz val="11"/>
        <color theme="1"/>
        <rFont val="宋体"/>
        <charset val="134"/>
      </rPr>
      <t>X</t>
    </r>
    <r>
      <rPr>
        <sz val="11"/>
        <color theme="1"/>
        <rFont val="Noto Sans CJK SC"/>
        <charset val="134"/>
      </rPr>
      <t>积分（后台配置）；邀请记录入库（邀请人</t>
    </r>
    <r>
      <rPr>
        <sz val="11"/>
        <color theme="1"/>
        <rFont val="宋体"/>
        <charset val="134"/>
      </rPr>
      <t>/</t>
    </r>
    <r>
      <rPr>
        <sz val="11"/>
        <color theme="1"/>
        <rFont val="Noto Sans CJK SC"/>
        <charset val="134"/>
      </rPr>
      <t>被邀请人</t>
    </r>
    <r>
      <rPr>
        <sz val="11"/>
        <color theme="1"/>
        <rFont val="宋体"/>
        <charset val="134"/>
      </rPr>
      <t>/</t>
    </r>
    <r>
      <rPr>
        <sz val="11"/>
        <color theme="1"/>
        <rFont val="Noto Sans CJK SC"/>
        <charset val="134"/>
      </rPr>
      <t>时间</t>
    </r>
    <r>
      <rPr>
        <sz val="11"/>
        <color theme="1"/>
        <rFont val="宋体"/>
        <charset val="134"/>
      </rPr>
      <t>/</t>
    </r>
    <r>
      <rPr>
        <sz val="11"/>
        <color theme="1"/>
        <rFont val="Noto Sans CJK SC"/>
        <charset val="134"/>
      </rPr>
      <t>积分）；支持多级裂变（最多</t>
    </r>
    <r>
      <rPr>
        <sz val="11"/>
        <color theme="1"/>
        <rFont val="宋体"/>
        <charset val="134"/>
      </rPr>
      <t>2</t>
    </r>
    <r>
      <rPr>
        <sz val="11"/>
        <color theme="1"/>
        <rFont val="Noto Sans CJK SC"/>
        <charset val="134"/>
      </rPr>
      <t>级）；防刷：同设备</t>
    </r>
    <r>
      <rPr>
        <sz val="11"/>
        <color theme="1"/>
        <rFont val="宋体"/>
        <charset val="134"/>
      </rPr>
      <t>/IP</t>
    </r>
    <r>
      <rPr>
        <sz val="11"/>
        <color theme="1"/>
        <rFont val="Noto Sans CJK SC"/>
        <charset val="134"/>
      </rPr>
      <t>注册不计，已注册手机号不计；邀请明细页可查看记录。</t>
    </r>
  </si>
  <si>
    <r>
      <rPr>
        <sz val="11"/>
        <color theme="1"/>
        <rFont val="Noto Sans CJK SC"/>
        <charset val="134"/>
      </rPr>
      <t>邀请码生成；多级裂变防刷；积分异步发放</t>
    </r>
    <r>
      <rPr>
        <sz val="11"/>
        <color theme="1"/>
        <rFont val="宋体"/>
        <charset val="134"/>
      </rPr>
      <t>MQ</t>
    </r>
  </si>
  <si>
    <t>用户留存与服务深化</t>
  </si>
  <si>
    <t>保险证件夹（证件保险箱）</t>
  </si>
  <si>
    <r>
      <rPr>
        <sz val="11"/>
        <color theme="1"/>
        <rFont val="Noto Sans CJK SC"/>
        <charset val="134"/>
      </rPr>
      <t>用户上传并加密保存重要证件图片（行驶证</t>
    </r>
    <r>
      <rPr>
        <sz val="11"/>
        <color theme="1"/>
        <rFont val="宋体"/>
        <charset val="134"/>
      </rPr>
      <t>/</t>
    </r>
    <r>
      <rPr>
        <sz val="11"/>
        <color theme="1"/>
        <rFont val="Noto Sans CJK SC"/>
        <charset val="134"/>
      </rPr>
      <t>身份证</t>
    </r>
    <r>
      <rPr>
        <sz val="11"/>
        <color theme="1"/>
        <rFont val="宋体"/>
        <charset val="134"/>
      </rPr>
      <t>/</t>
    </r>
    <r>
      <rPr>
        <sz val="11"/>
        <color theme="1"/>
        <rFont val="Noto Sans CJK SC"/>
        <charset val="134"/>
      </rPr>
      <t>驾驶证</t>
    </r>
    <r>
      <rPr>
        <sz val="11"/>
        <color theme="1"/>
        <rFont val="宋体"/>
        <charset val="134"/>
      </rPr>
      <t>/</t>
    </r>
    <r>
      <rPr>
        <sz val="11"/>
        <color theme="1"/>
        <rFont val="Noto Sans CJK SC"/>
        <charset val="134"/>
      </rPr>
      <t>社保卡）；仅用户本人可见（</t>
    </r>
    <r>
      <rPr>
        <sz val="11"/>
        <color theme="1"/>
        <rFont val="宋体"/>
        <charset val="134"/>
      </rPr>
      <t>AES</t>
    </r>
    <r>
      <rPr>
        <sz val="11"/>
        <color theme="1"/>
        <rFont val="Noto Sans CJK SC"/>
        <charset val="134"/>
      </rPr>
      <t>加密</t>
    </r>
    <r>
      <rPr>
        <sz val="11"/>
        <color theme="1"/>
        <rFont val="宋体"/>
        <charset val="134"/>
      </rPr>
      <t>OSS</t>
    </r>
    <r>
      <rPr>
        <sz val="11"/>
        <color theme="1"/>
        <rFont val="Noto Sans CJK SC"/>
        <charset val="134"/>
      </rPr>
      <t>存储，密钥与用户</t>
    </r>
    <r>
      <rPr>
        <sz val="11"/>
        <color theme="1"/>
        <rFont val="宋体"/>
        <charset val="134"/>
      </rPr>
      <t>ID</t>
    </r>
    <r>
      <rPr>
        <sz val="11"/>
        <color theme="1"/>
        <rFont val="Noto Sans CJK SC"/>
        <charset val="134"/>
      </rPr>
      <t>绑定）；支持手机内查看（需人脸</t>
    </r>
    <r>
      <rPr>
        <sz val="11"/>
        <color theme="1"/>
        <rFont val="宋体"/>
        <charset val="134"/>
      </rPr>
      <t>/</t>
    </r>
    <r>
      <rPr>
        <sz val="11"/>
        <color theme="1"/>
        <rFont val="Noto Sans CJK SC"/>
        <charset val="134"/>
      </rPr>
      <t>密码验证）；提醒证件有效期（身份证</t>
    </r>
    <r>
      <rPr>
        <sz val="11"/>
        <color theme="1"/>
        <rFont val="宋体"/>
        <charset val="134"/>
      </rPr>
      <t>/</t>
    </r>
    <r>
      <rPr>
        <sz val="11"/>
        <color theme="1"/>
        <rFont val="Noto Sans CJK SC"/>
        <charset val="134"/>
      </rPr>
      <t>驾驶证到期）；不参与任何业务逻辑，纯本地加密保管。</t>
    </r>
  </si>
  <si>
    <r>
      <rPr>
        <sz val="11"/>
        <color theme="1"/>
        <rFont val="宋体"/>
        <charset val="134"/>
      </rPr>
      <t>AES</t>
    </r>
    <r>
      <rPr>
        <sz val="11"/>
        <color theme="1"/>
        <rFont val="Noto Sans CJK SC"/>
        <charset val="134"/>
      </rPr>
      <t>加密</t>
    </r>
    <r>
      <rPr>
        <sz val="11"/>
        <color theme="1"/>
        <rFont val="宋体"/>
        <charset val="134"/>
      </rPr>
      <t>OSS</t>
    </r>
    <r>
      <rPr>
        <sz val="11"/>
        <color theme="1"/>
        <rFont val="Noto Sans CJK SC"/>
        <charset val="134"/>
      </rPr>
      <t>存储；隐私数据查看鉴权；有效期提醒</t>
    </r>
  </si>
  <si>
    <r>
      <rPr>
        <b/>
        <sz val="11"/>
        <color rgb="FF375623"/>
        <rFont val="Noto Sans CJK SC"/>
        <charset val="134"/>
      </rPr>
      <t>消息中心（系统通知</t>
    </r>
    <r>
      <rPr>
        <b/>
        <sz val="11"/>
        <color rgb="FF375623"/>
        <rFont val="宋体"/>
        <charset val="134"/>
      </rPr>
      <t>/</t>
    </r>
    <r>
      <rPr>
        <b/>
        <sz val="11"/>
        <color rgb="FF375623"/>
        <rFont val="Noto Sans CJK SC"/>
        <charset val="134"/>
      </rPr>
      <t>保单提醒</t>
    </r>
    <r>
      <rPr>
        <b/>
        <sz val="11"/>
        <color rgb="FF375623"/>
        <rFont val="宋体"/>
        <charset val="134"/>
      </rPr>
      <t>/</t>
    </r>
    <r>
      <rPr>
        <b/>
        <sz val="11"/>
        <color rgb="FF375623"/>
        <rFont val="Noto Sans CJK SC"/>
        <charset val="134"/>
      </rPr>
      <t>营销消息）</t>
    </r>
  </si>
  <si>
    <r>
      <rPr>
        <sz val="11"/>
        <color theme="1"/>
        <rFont val="Noto Sans CJK SC"/>
        <charset val="134"/>
      </rPr>
      <t>三类消息</t>
    </r>
    <r>
      <rPr>
        <sz val="11"/>
        <color theme="1"/>
        <rFont val="宋体"/>
        <charset val="134"/>
      </rPr>
      <t>Tab</t>
    </r>
    <r>
      <rPr>
        <sz val="11"/>
        <color theme="1"/>
        <rFont val="Noto Sans CJK SC"/>
        <charset val="134"/>
      </rPr>
      <t>：保单提醒（到期</t>
    </r>
    <r>
      <rPr>
        <sz val="11"/>
        <color theme="1"/>
        <rFont val="宋体"/>
        <charset val="134"/>
      </rPr>
      <t>/</t>
    </r>
    <r>
      <rPr>
        <sz val="11"/>
        <color theme="1"/>
        <rFont val="Noto Sans CJK SC"/>
        <charset val="134"/>
      </rPr>
      <t>生效</t>
    </r>
    <r>
      <rPr>
        <sz val="11"/>
        <color theme="1"/>
        <rFont val="宋体"/>
        <charset val="134"/>
      </rPr>
      <t>/</t>
    </r>
    <r>
      <rPr>
        <sz val="11"/>
        <color theme="1"/>
        <rFont val="Noto Sans CJK SC"/>
        <charset val="134"/>
      </rPr>
      <t>理赔进度）、系统通知（审核结果</t>
    </r>
    <r>
      <rPr>
        <sz val="11"/>
        <color theme="1"/>
        <rFont val="宋体"/>
        <charset val="134"/>
      </rPr>
      <t>/</t>
    </r>
    <r>
      <rPr>
        <sz val="11"/>
        <color theme="1"/>
        <rFont val="Noto Sans CJK SC"/>
        <charset val="134"/>
      </rPr>
      <t>变更确认）、营销消息（活动</t>
    </r>
    <r>
      <rPr>
        <sz val="11"/>
        <color theme="1"/>
        <rFont val="宋体"/>
        <charset val="134"/>
      </rPr>
      <t>/</t>
    </r>
    <r>
      <rPr>
        <sz val="11"/>
        <color theme="1"/>
        <rFont val="Noto Sans CJK SC"/>
        <charset val="134"/>
      </rPr>
      <t>优惠券发放）；未读红点实时更新；支持按类型一键已读；营销消息支持关闭免打扰；推送渠道：</t>
    </r>
    <r>
      <rPr>
        <sz val="11"/>
        <color theme="1"/>
        <rFont val="宋体"/>
        <charset val="134"/>
      </rPr>
      <t>App Push+</t>
    </r>
    <r>
      <rPr>
        <sz val="11"/>
        <color theme="1"/>
        <rFont val="Noto Sans CJK SC"/>
        <charset val="134"/>
      </rPr>
      <t>微信模板消息</t>
    </r>
    <r>
      <rPr>
        <sz val="11"/>
        <color theme="1"/>
        <rFont val="宋体"/>
        <charset val="134"/>
      </rPr>
      <t>+</t>
    </r>
    <r>
      <rPr>
        <sz val="11"/>
        <color theme="1"/>
        <rFont val="Noto Sans CJK SC"/>
        <charset val="134"/>
      </rPr>
      <t>短信（按用户偏好设置）。</t>
    </r>
  </si>
  <si>
    <r>
      <rPr>
        <sz val="11"/>
        <color theme="1"/>
        <rFont val="宋体"/>
        <charset val="134"/>
      </rPr>
      <t>WebSocket</t>
    </r>
    <r>
      <rPr>
        <sz val="11"/>
        <color theme="1"/>
        <rFont val="Noto Sans CJK SC"/>
        <charset val="134"/>
      </rPr>
      <t>未读数实时推送；消息三分类存储；用户偏好设置</t>
    </r>
  </si>
  <si>
    <r>
      <rPr>
        <b/>
        <sz val="11"/>
        <color rgb="FF375623"/>
        <rFont val="Noto Sans CJK SC"/>
        <charset val="134"/>
      </rPr>
      <t>续保提醒（</t>
    </r>
    <r>
      <rPr>
        <b/>
        <sz val="11"/>
        <color rgb="FF375623"/>
        <rFont val="宋体"/>
        <charset val="134"/>
      </rPr>
      <t>C</t>
    </r>
    <r>
      <rPr>
        <b/>
        <sz val="11"/>
        <color rgb="FF375623"/>
        <rFont val="Noto Sans CJK SC"/>
        <charset val="134"/>
      </rPr>
      <t>端）</t>
    </r>
  </si>
  <si>
    <r>
      <rPr>
        <sz val="11"/>
        <color theme="1"/>
        <rFont val="Noto Sans CJK SC"/>
        <charset val="134"/>
      </rPr>
      <t>【</t>
    </r>
    <r>
      <rPr>
        <sz val="11"/>
        <color theme="1"/>
        <rFont val="宋体"/>
        <charset val="134"/>
      </rPr>
      <t>V14</t>
    </r>
    <r>
      <rPr>
        <sz val="11"/>
        <color theme="1"/>
        <rFont val="Noto Sans CJK SC"/>
        <charset val="134"/>
      </rPr>
      <t>架构改造】：续保提醒触发逻辑已整合至统一续保调度服务（问题九处理），本模块不再单独实现</t>
    </r>
    <r>
      <rPr>
        <sz val="11"/>
        <color theme="1"/>
        <rFont val="宋体"/>
        <charset val="134"/>
      </rPr>
      <t>XXL-Job</t>
    </r>
    <r>
      <rPr>
        <sz val="11"/>
        <color theme="1"/>
        <rFont val="Noto Sans CJK SC"/>
        <charset val="134"/>
      </rPr>
      <t>扫描和推送</t>
    </r>
    <r>
      <rPr>
        <sz val="11"/>
        <color theme="1"/>
        <rFont val="宋体"/>
        <charset val="134"/>
      </rPr>
      <t>SDK</t>
    </r>
    <r>
      <rPr>
        <sz val="11"/>
        <color theme="1"/>
        <rFont val="Noto Sans CJK SC"/>
        <charset val="134"/>
      </rPr>
      <t>调用；前端展示逻辑（「待续保」保单列表、提醒偏好设置）保留；后端工时从</t>
    </r>
    <r>
      <rPr>
        <sz val="11"/>
        <color theme="1"/>
        <rFont val="宋体"/>
        <charset val="134"/>
      </rPr>
      <t>0.5</t>
    </r>
    <r>
      <rPr>
        <sz val="11"/>
        <color theme="1"/>
        <rFont val="Noto Sans CJK SC"/>
        <charset val="134"/>
      </rPr>
      <t>天减少至</t>
    </r>
    <r>
      <rPr>
        <sz val="11"/>
        <color theme="1"/>
        <rFont val="宋体"/>
        <charset val="134"/>
      </rPr>
      <t>0.2</t>
    </r>
    <r>
      <rPr>
        <sz val="11"/>
        <color theme="1"/>
        <rFont val="Noto Sans CJK SC"/>
        <charset val="134"/>
      </rPr>
      <t>天（仅需配置消息中台模板）。保单到期前</t>
    </r>
    <r>
      <rPr>
        <sz val="11"/>
        <color theme="1"/>
        <rFont val="宋体"/>
        <charset val="134"/>
      </rPr>
      <t>60/30/15/7/1</t>
    </r>
    <r>
      <rPr>
        <sz val="11"/>
        <color theme="1"/>
        <rFont val="Noto Sans CJK SC"/>
        <charset val="134"/>
      </rPr>
      <t>天向用户发送续保提醒（</t>
    </r>
    <r>
      <rPr>
        <sz val="11"/>
        <color theme="1"/>
        <rFont val="宋体"/>
        <charset val="134"/>
      </rPr>
      <t>App Push+</t>
    </r>
    <r>
      <rPr>
        <sz val="11"/>
        <color theme="1"/>
        <rFont val="Noto Sans CJK SC"/>
        <charset val="134"/>
      </rPr>
      <t>微信服务号</t>
    </r>
    <r>
      <rPr>
        <sz val="11"/>
        <color theme="1"/>
        <rFont val="宋体"/>
        <charset val="134"/>
      </rPr>
      <t>+</t>
    </r>
    <r>
      <rPr>
        <sz val="11"/>
        <color theme="1"/>
        <rFont val="Noto Sans CJK SC"/>
        <charset val="134"/>
      </rPr>
      <t>短信）；消息中心展示「待续保」保单列表；点击直达同类产品列表优先展示；若有归因业务员则同步提醒业务员跟进；用户可在</t>
    </r>
  </si>
  <si>
    <t>多节点定时提醒触发；提醒偏好存储；归因业务员同步</t>
  </si>
  <si>
    <t>积分商城</t>
  </si>
  <si>
    <r>
      <rPr>
        <sz val="11"/>
        <color theme="1"/>
        <rFont val="Noto Sans CJK SC"/>
        <charset val="134"/>
      </rPr>
      <t>积分可兑换：优惠券</t>
    </r>
    <r>
      <rPr>
        <sz val="11"/>
        <color theme="1"/>
        <rFont val="宋体"/>
        <charset val="134"/>
      </rPr>
      <t>/</t>
    </r>
    <r>
      <rPr>
        <sz val="11"/>
        <color theme="1"/>
        <rFont val="Noto Sans CJK SC"/>
        <charset val="134"/>
      </rPr>
      <t>免费增值服务（道路救援</t>
    </r>
    <r>
      <rPr>
        <sz val="11"/>
        <color theme="1"/>
        <rFont val="宋体"/>
        <charset val="134"/>
      </rPr>
      <t>/</t>
    </r>
    <r>
      <rPr>
        <sz val="11"/>
        <color theme="1"/>
        <rFont val="Noto Sans CJK SC"/>
        <charset val="134"/>
      </rPr>
      <t>代驾次数）</t>
    </r>
    <r>
      <rPr>
        <sz val="11"/>
        <color theme="1"/>
        <rFont val="宋体"/>
        <charset val="134"/>
      </rPr>
      <t>/</t>
    </r>
    <r>
      <rPr>
        <sz val="11"/>
        <color theme="1"/>
        <rFont val="Noto Sans CJK SC"/>
        <charset val="134"/>
      </rPr>
      <t>实物奖品（快递收货）</t>
    </r>
    <r>
      <rPr>
        <sz val="11"/>
        <color theme="1"/>
        <rFont val="宋体"/>
        <charset val="134"/>
      </rPr>
      <t>/</t>
    </r>
    <r>
      <rPr>
        <sz val="11"/>
        <color theme="1"/>
        <rFont val="Noto Sans CJK SC"/>
        <charset val="134"/>
      </rPr>
      <t>保费抵扣额度；商品库由运营后台维护（名称</t>
    </r>
    <r>
      <rPr>
        <sz val="11"/>
        <color theme="1"/>
        <rFont val="宋体"/>
        <charset val="134"/>
      </rPr>
      <t>/</t>
    </r>
    <r>
      <rPr>
        <sz val="11"/>
        <color theme="1"/>
        <rFont val="Noto Sans CJK SC"/>
        <charset val="134"/>
      </rPr>
      <t>所需积分</t>
    </r>
    <r>
      <rPr>
        <sz val="11"/>
        <color theme="1"/>
        <rFont val="宋体"/>
        <charset val="134"/>
      </rPr>
      <t>/</t>
    </r>
    <r>
      <rPr>
        <sz val="11"/>
        <color theme="1"/>
        <rFont val="Noto Sans CJK SC"/>
        <charset val="134"/>
      </rPr>
      <t>库存</t>
    </r>
    <r>
      <rPr>
        <sz val="11"/>
        <color theme="1"/>
        <rFont val="宋体"/>
        <charset val="134"/>
      </rPr>
      <t>/</t>
    </r>
    <r>
      <rPr>
        <sz val="11"/>
        <color theme="1"/>
        <rFont val="Noto Sans CJK SC"/>
        <charset val="134"/>
      </rPr>
      <t>有效期）；兑换时原子扣减积分</t>
    </r>
    <r>
      <rPr>
        <sz val="11"/>
        <color theme="1"/>
        <rFont val="宋体"/>
        <charset val="134"/>
      </rPr>
      <t>+</t>
    </r>
    <r>
      <rPr>
        <sz val="11"/>
        <color theme="1"/>
        <rFont val="Noto Sans CJK SC"/>
        <charset val="134"/>
      </rPr>
      <t>库存（</t>
    </r>
    <r>
      <rPr>
        <sz val="11"/>
        <color theme="1"/>
        <rFont val="宋体"/>
        <charset val="134"/>
      </rPr>
      <t>Redis Lua</t>
    </r>
    <r>
      <rPr>
        <sz val="11"/>
        <color theme="1"/>
        <rFont val="Noto Sans CJK SC"/>
        <charset val="134"/>
      </rPr>
      <t>）；实物商品接快递</t>
    </r>
    <r>
      <rPr>
        <sz val="11"/>
        <color theme="1"/>
        <rFont val="宋体"/>
        <charset val="134"/>
      </rPr>
      <t>API</t>
    </r>
    <r>
      <rPr>
        <sz val="11"/>
        <color theme="1"/>
        <rFont val="Noto Sans CJK SC"/>
        <charset val="134"/>
      </rPr>
      <t>下单；兑换记录可查。</t>
    </r>
  </si>
  <si>
    <r>
      <rPr>
        <sz val="11"/>
        <color theme="1"/>
        <rFont val="宋体"/>
        <charset val="134"/>
      </rPr>
      <t>Redis Lua</t>
    </r>
    <r>
      <rPr>
        <sz val="11"/>
        <color theme="1"/>
        <rFont val="Noto Sans CJK SC"/>
        <charset val="134"/>
      </rPr>
      <t>原子积分</t>
    </r>
    <r>
      <rPr>
        <sz val="11"/>
        <color theme="1"/>
        <rFont val="宋体"/>
        <charset val="134"/>
      </rPr>
      <t>+</t>
    </r>
    <r>
      <rPr>
        <sz val="11"/>
        <color theme="1"/>
        <rFont val="Noto Sans CJK SC"/>
        <charset val="134"/>
      </rPr>
      <t>库存双扣减；快递</t>
    </r>
    <r>
      <rPr>
        <sz val="11"/>
        <color theme="1"/>
        <rFont val="宋体"/>
        <charset val="134"/>
      </rPr>
      <t>API</t>
    </r>
    <r>
      <rPr>
        <sz val="11"/>
        <color theme="1"/>
        <rFont val="Noto Sans CJK SC"/>
        <charset val="134"/>
      </rPr>
      <t>集成；商品配置化</t>
    </r>
  </si>
  <si>
    <t>车险C端功能补充</t>
  </si>
  <si>
    <r>
      <rPr>
        <b/>
        <sz val="11"/>
        <color rgb="FF375623"/>
        <rFont val="Noto Sans CJK SC"/>
        <charset val="134"/>
      </rPr>
      <t>违章查询（</t>
    </r>
    <r>
      <rPr>
        <b/>
        <sz val="11"/>
        <color rgb="FF375623"/>
        <rFont val="宋体"/>
        <charset val="134"/>
      </rPr>
      <t>C</t>
    </r>
    <r>
      <rPr>
        <b/>
        <sz val="11"/>
        <color rgb="FF375623"/>
        <rFont val="Noto Sans CJK SC"/>
        <charset val="134"/>
      </rPr>
      <t>端）</t>
    </r>
  </si>
  <si>
    <r>
      <rPr>
        <sz val="11"/>
        <color theme="1"/>
        <rFont val="Noto Sans CJK SC"/>
        <charset val="134"/>
      </rPr>
      <t>用户输入车牌号</t>
    </r>
    <r>
      <rPr>
        <sz val="11"/>
        <color theme="1"/>
        <rFont val="宋体"/>
        <charset val="134"/>
      </rPr>
      <t>+</t>
    </r>
    <r>
      <rPr>
        <sz val="11"/>
        <color theme="1"/>
        <rFont val="Noto Sans CJK SC"/>
        <charset val="134"/>
      </rPr>
      <t>车架号后</t>
    </r>
    <r>
      <rPr>
        <sz val="11"/>
        <color theme="1"/>
        <rFont val="宋体"/>
        <charset val="134"/>
      </rPr>
      <t>4</t>
    </r>
    <r>
      <rPr>
        <sz val="11"/>
        <color theme="1"/>
        <rFont val="Noto Sans CJK SC"/>
        <charset val="134"/>
      </rPr>
      <t>位→调第三方违章查询</t>
    </r>
    <r>
      <rPr>
        <sz val="11"/>
        <color theme="1"/>
        <rFont val="宋体"/>
        <charset val="134"/>
      </rPr>
      <t>API→</t>
    </r>
    <r>
      <rPr>
        <sz val="11"/>
        <color theme="1"/>
        <rFont val="Noto Sans CJK SC"/>
        <charset val="134"/>
      </rPr>
      <t>展示违章记录（时间</t>
    </r>
    <r>
      <rPr>
        <sz val="11"/>
        <color theme="1"/>
        <rFont val="宋体"/>
        <charset val="134"/>
      </rPr>
      <t>/</t>
    </r>
    <r>
      <rPr>
        <sz val="11"/>
        <color theme="1"/>
        <rFont val="Noto Sans CJK SC"/>
        <charset val="134"/>
      </rPr>
      <t>地点</t>
    </r>
    <r>
      <rPr>
        <sz val="11"/>
        <color theme="1"/>
        <rFont val="宋体"/>
        <charset val="134"/>
      </rPr>
      <t>/</t>
    </r>
    <r>
      <rPr>
        <sz val="11"/>
        <color theme="1"/>
        <rFont val="Noto Sans CJK SC"/>
        <charset val="134"/>
      </rPr>
      <t>描述</t>
    </r>
    <r>
      <rPr>
        <sz val="11"/>
        <color theme="1"/>
        <rFont val="宋体"/>
        <charset val="134"/>
      </rPr>
      <t>/</t>
    </r>
    <r>
      <rPr>
        <sz val="11"/>
        <color theme="1"/>
        <rFont val="Noto Sans CJK SC"/>
        <charset val="134"/>
      </rPr>
      <t>罚款</t>
    </r>
    <r>
      <rPr>
        <sz val="11"/>
        <color theme="1"/>
        <rFont val="宋体"/>
        <charset val="134"/>
      </rPr>
      <t>/</t>
    </r>
    <r>
      <rPr>
        <sz val="11"/>
        <color theme="1"/>
        <rFont val="Noto Sans CJK SC"/>
        <charset val="134"/>
      </rPr>
      <t>扣分）；提供「一键代缴」引导（跳转官方渠道，不自行代缴）；违章查询记录保存历史；关联车险推荐（有违章提示购买违章不计免赔险）。</t>
    </r>
  </si>
  <si>
    <r>
      <rPr>
        <sz val="11"/>
        <color theme="1"/>
        <rFont val="Noto Sans CJK SC"/>
        <charset val="134"/>
      </rPr>
      <t>第三方违章查询</t>
    </r>
    <r>
      <rPr>
        <sz val="11"/>
        <color theme="1"/>
        <rFont val="宋体"/>
        <charset val="134"/>
      </rPr>
      <t>API</t>
    </r>
    <r>
      <rPr>
        <sz val="11"/>
        <color theme="1"/>
        <rFont val="Noto Sans CJK SC"/>
        <charset val="134"/>
      </rPr>
      <t>集成；结果展示格式化；关联推荐</t>
    </r>
  </si>
  <si>
    <r>
      <rPr>
        <b/>
        <sz val="11"/>
        <color rgb="FF375623"/>
        <rFont val="Noto Sans CJK SC"/>
        <charset val="134"/>
      </rPr>
      <t>道路救援一键呼叫（</t>
    </r>
    <r>
      <rPr>
        <b/>
        <sz val="11"/>
        <color rgb="FF375623"/>
        <rFont val="宋体"/>
        <charset val="134"/>
      </rPr>
      <t>C</t>
    </r>
    <r>
      <rPr>
        <b/>
        <sz val="11"/>
        <color rgb="FF375623"/>
        <rFont val="Noto Sans CJK SC"/>
        <charset val="134"/>
      </rPr>
      <t>端）</t>
    </r>
  </si>
  <si>
    <r>
      <rPr>
        <sz val="11"/>
        <color theme="1"/>
        <rFont val="Noto Sans CJK SC"/>
        <charset val="134"/>
      </rPr>
      <t>已购含道路救援增值服务的保单用户，在</t>
    </r>
    <r>
      <rPr>
        <sz val="11"/>
        <color theme="1"/>
        <rFont val="宋体"/>
        <charset val="134"/>
      </rPr>
      <t>App</t>
    </r>
    <r>
      <rPr>
        <sz val="11"/>
        <color theme="1"/>
        <rFont val="Noto Sans CJK SC"/>
        <charset val="134"/>
      </rPr>
      <t>内一键呼叫道路救援；对接道路救援服务商</t>
    </r>
    <r>
      <rPr>
        <sz val="11"/>
        <color theme="1"/>
        <rFont val="宋体"/>
        <charset val="134"/>
      </rPr>
      <t>API</t>
    </r>
    <r>
      <rPr>
        <sz val="11"/>
        <color theme="1"/>
        <rFont val="Noto Sans CJK SC"/>
        <charset val="134"/>
      </rPr>
      <t>（电话</t>
    </r>
    <r>
      <rPr>
        <sz val="11"/>
        <color theme="1"/>
        <rFont val="宋体"/>
        <charset val="134"/>
      </rPr>
      <t>/GPS</t>
    </r>
    <r>
      <rPr>
        <sz val="11"/>
        <color theme="1"/>
        <rFont val="Noto Sans CJK SC"/>
        <charset val="134"/>
      </rPr>
      <t>位置一键传送）；展示当前</t>
    </r>
    <r>
      <rPr>
        <sz val="11"/>
        <color theme="1"/>
        <rFont val="宋体"/>
        <charset val="134"/>
      </rPr>
      <t>GPS</t>
    </r>
    <r>
      <rPr>
        <sz val="11"/>
        <color theme="1"/>
        <rFont val="Noto Sans CJK SC"/>
        <charset val="134"/>
      </rPr>
      <t>位置</t>
    </r>
    <r>
      <rPr>
        <sz val="11"/>
        <color theme="1"/>
        <rFont val="宋体"/>
        <charset val="134"/>
      </rPr>
      <t>+</t>
    </r>
    <r>
      <rPr>
        <sz val="11"/>
        <color theme="1"/>
        <rFont val="Noto Sans CJK SC"/>
        <charset val="134"/>
      </rPr>
      <t>可手动修改；记录救援请求日志；无增值服务用户展示购买引导。</t>
    </r>
  </si>
  <si>
    <r>
      <rPr>
        <sz val="11"/>
        <color theme="1"/>
        <rFont val="宋体"/>
        <charset val="134"/>
      </rPr>
      <t>GPS</t>
    </r>
    <r>
      <rPr>
        <sz val="11"/>
        <color theme="1"/>
        <rFont val="Noto Sans CJK SC"/>
        <charset val="134"/>
      </rPr>
      <t>定位；救援服务商</t>
    </r>
    <r>
      <rPr>
        <sz val="11"/>
        <color theme="1"/>
        <rFont val="宋体"/>
        <charset val="134"/>
      </rPr>
      <t>API</t>
    </r>
    <r>
      <rPr>
        <sz val="11"/>
        <color theme="1"/>
        <rFont val="Noto Sans CJK SC"/>
        <charset val="134"/>
      </rPr>
      <t>对接；服务资格校验</t>
    </r>
  </si>
  <si>
    <r>
      <rPr>
        <b/>
        <sz val="11"/>
        <color rgb="FF375623"/>
        <rFont val="宋体"/>
        <charset val="134"/>
      </rPr>
      <t>OBD/</t>
    </r>
    <r>
      <rPr>
        <b/>
        <sz val="11"/>
        <color rgb="FF375623"/>
        <rFont val="Noto Sans CJK SC"/>
        <charset val="134"/>
      </rPr>
      <t>驾驶行为评分（可选接入）</t>
    </r>
  </si>
  <si>
    <r>
      <rPr>
        <sz val="11"/>
        <color theme="1"/>
        <rFont val="Noto Sans CJK SC"/>
        <charset val="134"/>
      </rPr>
      <t>引导用户绑定支持</t>
    </r>
    <r>
      <rPr>
        <sz val="11"/>
        <color theme="1"/>
        <rFont val="宋体"/>
        <charset val="134"/>
      </rPr>
      <t>OBD</t>
    </r>
    <r>
      <rPr>
        <sz val="11"/>
        <color theme="1"/>
        <rFont val="Noto Sans CJK SC"/>
        <charset val="134"/>
      </rPr>
      <t>的车联网设备或接入手机运动传感器采集驾驶行为（急加速</t>
    </r>
    <r>
      <rPr>
        <sz val="11"/>
        <color theme="1"/>
        <rFont val="宋体"/>
        <charset val="134"/>
      </rPr>
      <t>/</t>
    </r>
    <r>
      <rPr>
        <sz val="11"/>
        <color theme="1"/>
        <rFont val="Noto Sans CJK SC"/>
        <charset val="134"/>
      </rPr>
      <t>急刹车</t>
    </r>
    <r>
      <rPr>
        <sz val="11"/>
        <color theme="1"/>
        <rFont val="宋体"/>
        <charset val="134"/>
      </rPr>
      <t>/</t>
    </r>
    <r>
      <rPr>
        <sz val="11"/>
        <color theme="1"/>
        <rFont val="Noto Sans CJK SC"/>
        <charset val="134"/>
      </rPr>
      <t>夜间行驶）；每月生成驾驶安全报告；安全驾驶积分换奖励；接入</t>
    </r>
    <r>
      <rPr>
        <sz val="11"/>
        <color theme="1"/>
        <rFont val="宋体"/>
        <charset val="134"/>
      </rPr>
      <t>UBI(Usage-Based Insurance)</t>
    </r>
    <r>
      <rPr>
        <sz val="11"/>
        <color theme="1"/>
        <rFont val="Noto Sans CJK SC"/>
        <charset val="134"/>
      </rPr>
      <t>保费折扣推荐；数据脱敏上报，用户可随时断开授权。</t>
    </r>
  </si>
  <si>
    <r>
      <rPr>
        <sz val="11"/>
        <color theme="1"/>
        <rFont val="宋体"/>
        <charset val="134"/>
      </rPr>
      <t>OBD</t>
    </r>
    <r>
      <rPr>
        <sz val="11"/>
        <color theme="1"/>
        <rFont val="Noto Sans CJK SC"/>
        <charset val="134"/>
      </rPr>
      <t>设备数据接入；驾驶行为算法；</t>
    </r>
    <r>
      <rPr>
        <sz val="11"/>
        <color theme="1"/>
        <rFont val="宋体"/>
        <charset val="134"/>
      </rPr>
      <t>UBI</t>
    </r>
    <r>
      <rPr>
        <sz val="11"/>
        <color theme="1"/>
        <rFont val="Noto Sans CJK SC"/>
        <charset val="134"/>
      </rPr>
      <t>折扣联动；数据脱敏</t>
    </r>
  </si>
  <si>
    <r>
      <rPr>
        <b/>
        <sz val="10"/>
        <color rgb="FFFFFFFF"/>
        <rFont val="Noto Sans CJK SC"/>
        <charset val="134"/>
      </rPr>
      <t xml:space="preserve">（前端工时 </t>
    </r>
    <r>
      <rPr>
        <b/>
        <sz val="10"/>
        <color rgb="FFFFFFFF"/>
        <rFont val="宋体"/>
        <charset val="134"/>
      </rPr>
      <t xml:space="preserve">+ </t>
    </r>
    <r>
      <rPr>
        <b/>
        <sz val="10"/>
        <color rgb="FFFFFFFF"/>
        <rFont val="Noto Sans CJK SC"/>
        <charset val="134"/>
      </rPr>
      <t>后端工时）</t>
    </r>
  </si>
  <si>
    <r>
      <rPr>
        <b/>
        <sz val="10"/>
        <color rgb="FFFFFFFF"/>
        <rFont val="Noto Sans CJK SC"/>
        <charset val="134"/>
      </rPr>
      <t>总计：</t>
    </r>
    <r>
      <rPr>
        <b/>
        <sz val="10"/>
        <color rgb="FFFFFFFF"/>
        <rFont val="宋体"/>
        <charset val="134"/>
      </rPr>
      <t>140.5</t>
    </r>
    <r>
      <rPr>
        <b/>
        <sz val="10"/>
        <color rgb="FFFFFFFF"/>
        <rFont val="Noto Sans CJK SC"/>
        <charset val="134"/>
      </rPr>
      <t>天（约</t>
    </r>
    <r>
      <rPr>
        <b/>
        <sz val="10"/>
        <color rgb="FFFFFFFF"/>
        <rFont val="宋体"/>
        <charset val="134"/>
      </rPr>
      <t>14</t>
    </r>
    <r>
      <rPr>
        <b/>
        <sz val="10"/>
        <color rgb="FFFFFFFF"/>
        <rFont val="Noto Sans CJK SC"/>
        <charset val="134"/>
      </rPr>
      <t>周）</t>
    </r>
  </si>
  <si>
    <t>内容管理</t>
  </si>
  <si>
    <r>
      <rPr>
        <sz val="9"/>
        <rFont val="微软雅黑"/>
        <charset val="134"/>
      </rPr>
      <t>Banner</t>
    </r>
    <r>
      <rPr>
        <sz val="9"/>
        <rFont val="Noto Sans CJK SC"/>
        <charset val="134"/>
      </rPr>
      <t>管理</t>
    </r>
  </si>
  <si>
    <r>
      <rPr>
        <sz val="9"/>
        <rFont val="微软雅黑"/>
        <charset val="134"/>
      </rPr>
      <t>1.Banner</t>
    </r>
    <r>
      <rPr>
        <sz val="9"/>
        <rFont val="Noto Sans CJK SC"/>
        <charset val="134"/>
      </rPr>
      <t>列表查询（按位置</t>
    </r>
    <r>
      <rPr>
        <sz val="9"/>
        <rFont val="微软雅黑"/>
        <charset val="134"/>
      </rPr>
      <t>/</t>
    </r>
    <r>
      <rPr>
        <sz val="9"/>
        <rFont val="Noto Sans CJK SC"/>
        <charset val="134"/>
      </rPr>
      <t>平台</t>
    </r>
    <r>
      <rPr>
        <sz val="9"/>
        <rFont val="微软雅黑"/>
        <charset val="134"/>
      </rPr>
      <t>/</t>
    </r>
    <r>
      <rPr>
        <sz val="9"/>
        <rFont val="Noto Sans CJK SC"/>
        <charset val="134"/>
      </rPr>
      <t xml:space="preserve">状态筛选）
</t>
    </r>
    <r>
      <rPr>
        <sz val="9"/>
        <rFont val="微软雅黑"/>
        <charset val="134"/>
      </rPr>
      <t>2.</t>
    </r>
    <r>
      <rPr>
        <sz val="9"/>
        <rFont val="Noto Sans CJK SC"/>
        <charset val="134"/>
      </rPr>
      <t>新增</t>
    </r>
    <r>
      <rPr>
        <sz val="9"/>
        <rFont val="微软雅黑"/>
        <charset val="134"/>
      </rPr>
      <t>/</t>
    </r>
    <r>
      <rPr>
        <sz val="9"/>
        <rFont val="Noto Sans CJK SC"/>
        <charset val="134"/>
      </rPr>
      <t>编辑</t>
    </r>
    <r>
      <rPr>
        <sz val="9"/>
        <rFont val="微软雅黑"/>
        <charset val="134"/>
      </rPr>
      <t>Banner</t>
    </r>
    <r>
      <rPr>
        <sz val="9"/>
        <rFont val="Noto Sans CJK SC"/>
        <charset val="134"/>
      </rPr>
      <t>：图片上传至</t>
    </r>
    <r>
      <rPr>
        <sz val="9"/>
        <rFont val="微软雅黑"/>
        <charset val="134"/>
      </rPr>
      <t>OSS</t>
    </r>
    <r>
      <rPr>
        <sz val="9"/>
        <rFont val="Noto Sans CJK SC"/>
        <charset val="134"/>
      </rPr>
      <t>、链接类型（内部</t>
    </r>
    <r>
      <rPr>
        <sz val="9"/>
        <rFont val="微软雅黑"/>
        <charset val="134"/>
      </rPr>
      <t>/</t>
    </r>
    <r>
      <rPr>
        <sz val="9"/>
        <rFont val="Noto Sans CJK SC"/>
        <charset val="134"/>
      </rPr>
      <t>外部</t>
    </r>
    <r>
      <rPr>
        <sz val="9"/>
        <rFont val="微软雅黑"/>
        <charset val="134"/>
      </rPr>
      <t>/</t>
    </r>
    <r>
      <rPr>
        <sz val="9"/>
        <rFont val="Noto Sans CJK SC"/>
        <charset val="134"/>
      </rPr>
      <t>无）校验、平台适配（全平台时</t>
    </r>
    <r>
      <rPr>
        <sz val="9"/>
        <rFont val="微软雅黑"/>
        <charset val="134"/>
      </rPr>
      <t>PC</t>
    </r>
    <r>
      <rPr>
        <sz val="9"/>
        <rFont val="Noto Sans CJK SC"/>
        <charset val="134"/>
      </rPr>
      <t>图</t>
    </r>
    <r>
      <rPr>
        <sz val="9"/>
        <rFont val="微软雅黑"/>
        <charset val="134"/>
      </rPr>
      <t>+</t>
    </r>
    <r>
      <rPr>
        <sz val="9"/>
        <rFont val="Noto Sans CJK SC"/>
        <charset val="134"/>
      </rPr>
      <t>移动图均必填）、排序号</t>
    </r>
    <r>
      <rPr>
        <sz val="9"/>
        <rFont val="微软雅黑"/>
        <charset val="134"/>
      </rPr>
      <t>1-999</t>
    </r>
    <r>
      <rPr>
        <sz val="9"/>
        <rFont val="Noto Sans CJK SC"/>
        <charset val="134"/>
      </rPr>
      <t xml:space="preserve">范围校验
</t>
    </r>
    <r>
      <rPr>
        <sz val="9"/>
        <rFont val="微软雅黑"/>
        <charset val="134"/>
      </rPr>
      <t>3.</t>
    </r>
    <r>
      <rPr>
        <sz val="9"/>
        <rFont val="Noto Sans CJK SC"/>
        <charset val="134"/>
      </rPr>
      <t>上下架：单个</t>
    </r>
    <r>
      <rPr>
        <sz val="9"/>
        <rFont val="微软雅黑"/>
        <charset val="134"/>
      </rPr>
      <t>+</t>
    </r>
    <r>
      <rPr>
        <sz val="9"/>
        <rFont val="Noto Sans CJK SC"/>
        <charset val="134"/>
      </rPr>
      <t xml:space="preserve">批量操作，已上架不可直接删除
</t>
    </r>
    <r>
      <rPr>
        <sz val="9"/>
        <rFont val="微软雅黑"/>
        <charset val="134"/>
      </rPr>
      <t>4.</t>
    </r>
    <r>
      <rPr>
        <sz val="9"/>
        <rFont val="Noto Sans CJK SC"/>
        <charset val="134"/>
      </rPr>
      <t>定时上下架：定时任务每</t>
    </r>
    <r>
      <rPr>
        <sz val="9"/>
        <rFont val="微软雅黑"/>
        <charset val="134"/>
      </rPr>
      <t>5</t>
    </r>
    <r>
      <rPr>
        <sz val="9"/>
        <rFont val="Noto Sans CJK SC"/>
        <charset val="134"/>
      </rPr>
      <t>分钟扫描</t>
    </r>
    <r>
      <rPr>
        <sz val="9"/>
        <rFont val="微软雅黑"/>
        <charset val="134"/>
      </rPr>
      <t>start_time/end_time</t>
    </r>
    <r>
      <rPr>
        <sz val="9"/>
        <rFont val="Noto Sans CJK SC"/>
        <charset val="134"/>
      </rPr>
      <t>自动更新</t>
    </r>
    <r>
      <rPr>
        <sz val="9"/>
        <rFont val="微软雅黑"/>
        <charset val="134"/>
      </rPr>
      <t>status
5.</t>
    </r>
    <r>
      <rPr>
        <sz val="9"/>
        <rFont val="Noto Sans CJK SC"/>
        <charset val="134"/>
      </rPr>
      <t xml:space="preserve">排序调整：支持拖拽排序和直接输入排序号
</t>
    </r>
    <r>
      <rPr>
        <sz val="9"/>
        <rFont val="微软雅黑"/>
        <charset val="134"/>
      </rPr>
      <t>6.</t>
    </r>
    <r>
      <rPr>
        <sz val="9"/>
        <rFont val="Noto Sans CJK SC"/>
        <charset val="134"/>
      </rPr>
      <t xml:space="preserve">逻辑删除：已上架不允许删除，需先下架
</t>
    </r>
    <r>
      <rPr>
        <sz val="9"/>
        <rFont val="微软雅黑"/>
        <charset val="134"/>
      </rPr>
      <t>7.</t>
    </r>
    <r>
      <rPr>
        <sz val="9"/>
        <rFont val="Noto Sans CJK SC"/>
        <charset val="134"/>
      </rPr>
      <t>点击量统计：</t>
    </r>
    <r>
      <rPr>
        <sz val="9"/>
        <rFont val="微软雅黑"/>
        <charset val="134"/>
      </rPr>
      <t>Redis</t>
    </r>
    <r>
      <rPr>
        <sz val="9"/>
        <rFont val="Noto Sans CJK SC"/>
        <charset val="134"/>
      </rPr>
      <t>实时计数，每小时同步</t>
    </r>
    <r>
      <rPr>
        <sz val="9"/>
        <rFont val="微软雅黑"/>
        <charset val="134"/>
      </rPr>
      <t>MySQL</t>
    </r>
  </si>
  <si>
    <t>阿里云OSS图片上传；定时任务自动上下架；Redis点击量统计防刷</t>
  </si>
  <si>
    <t>文章管理</t>
  </si>
  <si>
    <r>
      <rPr>
        <sz val="9"/>
        <rFont val="微软雅黑"/>
        <charset val="134"/>
      </rPr>
      <t>1.</t>
    </r>
    <r>
      <rPr>
        <sz val="9"/>
        <rFont val="Noto Sans CJK SC"/>
        <charset val="134"/>
      </rPr>
      <t>文章分类</t>
    </r>
    <r>
      <rPr>
        <sz val="9"/>
        <rFont val="微软雅黑"/>
        <charset val="134"/>
      </rPr>
      <t>CRUD</t>
    </r>
    <r>
      <rPr>
        <sz val="9"/>
        <rFont val="Noto Sans CJK SC"/>
        <charset val="134"/>
      </rPr>
      <t xml:space="preserve">（支持二级分类，删除时校验是否有关联文章）
</t>
    </r>
    <r>
      <rPr>
        <sz val="9"/>
        <rFont val="微软雅黑"/>
        <charset val="134"/>
      </rPr>
      <t>2.</t>
    </r>
    <r>
      <rPr>
        <sz val="9"/>
        <rFont val="Noto Sans CJK SC"/>
        <charset val="134"/>
      </rPr>
      <t>新增</t>
    </r>
    <r>
      <rPr>
        <sz val="9"/>
        <rFont val="微软雅黑"/>
        <charset val="134"/>
      </rPr>
      <t>/</t>
    </r>
    <r>
      <rPr>
        <sz val="9"/>
        <rFont val="Noto Sans CJK SC"/>
        <charset val="134"/>
      </rPr>
      <t>编辑文章：富文本编辑（</t>
    </r>
    <r>
      <rPr>
        <sz val="9"/>
        <rFont val="微软雅黑"/>
        <charset val="134"/>
      </rPr>
      <t>WangEditor/Tinymce</t>
    </r>
    <r>
      <rPr>
        <sz val="9"/>
        <rFont val="Noto Sans CJK SC"/>
        <charset val="134"/>
      </rPr>
      <t>），图片自动上传</t>
    </r>
    <r>
      <rPr>
        <sz val="9"/>
        <rFont val="微软雅黑"/>
        <charset val="134"/>
      </rPr>
      <t>OSS</t>
    </r>
    <r>
      <rPr>
        <sz val="9"/>
        <rFont val="Noto Sans CJK SC"/>
        <charset val="134"/>
      </rPr>
      <t>，每</t>
    </r>
    <r>
      <rPr>
        <sz val="9"/>
        <rFont val="微软雅黑"/>
        <charset val="134"/>
      </rPr>
      <t>30</t>
    </r>
    <r>
      <rPr>
        <sz val="9"/>
        <rFont val="Noto Sans CJK SC"/>
        <charset val="134"/>
      </rPr>
      <t xml:space="preserve">秒自动保存草稿
</t>
    </r>
    <r>
      <rPr>
        <sz val="9"/>
        <rFont val="微软雅黑"/>
        <charset val="134"/>
      </rPr>
      <t>3.</t>
    </r>
    <r>
      <rPr>
        <sz val="9"/>
        <rFont val="Noto Sans CJK SC"/>
        <charset val="134"/>
      </rPr>
      <t>字段校验：标题</t>
    </r>
    <r>
      <rPr>
        <sz val="9"/>
        <rFont val="微软雅黑"/>
        <charset val="134"/>
      </rPr>
      <t>2-200</t>
    </r>
    <r>
      <rPr>
        <sz val="9"/>
        <rFont val="Noto Sans CJK SC"/>
        <charset val="134"/>
      </rPr>
      <t>字符、摘要</t>
    </r>
    <r>
      <rPr>
        <sz val="9"/>
        <rFont val="微软雅黑"/>
        <charset val="134"/>
      </rPr>
      <t>10-500</t>
    </r>
    <r>
      <rPr>
        <sz val="9"/>
        <rFont val="Noto Sans CJK SC"/>
        <charset val="134"/>
      </rPr>
      <t xml:space="preserve">字符、封面图必传、分类必选且须为启用状态
</t>
    </r>
    <r>
      <rPr>
        <sz val="9"/>
        <rFont val="微软雅黑"/>
        <charset val="134"/>
      </rPr>
      <t>4.</t>
    </r>
    <r>
      <rPr>
        <sz val="9"/>
        <rFont val="Noto Sans CJK SC"/>
        <charset val="134"/>
      </rPr>
      <t xml:space="preserve">发布流程：草稿→提交审核→审核通过→发布；支持定时发布
</t>
    </r>
    <r>
      <rPr>
        <sz val="9"/>
        <rFont val="微软雅黑"/>
        <charset val="134"/>
      </rPr>
      <t>5.</t>
    </r>
    <r>
      <rPr>
        <sz val="9"/>
        <rFont val="Noto Sans CJK SC"/>
        <charset val="134"/>
      </rPr>
      <t>审核流程：通过（</t>
    </r>
    <r>
      <rPr>
        <sz val="9"/>
        <rFont val="微软雅黑"/>
        <charset val="134"/>
      </rPr>
      <t>status=2</t>
    </r>
    <r>
      <rPr>
        <sz val="9"/>
        <rFont val="Noto Sans CJK SC"/>
        <charset val="134"/>
      </rPr>
      <t>，设置</t>
    </r>
    <r>
      <rPr>
        <sz val="9"/>
        <rFont val="微软雅黑"/>
        <charset val="134"/>
      </rPr>
      <t>publish_time</t>
    </r>
    <r>
      <rPr>
        <sz val="9"/>
        <rFont val="Noto Sans CJK SC"/>
        <charset val="134"/>
      </rPr>
      <t>）</t>
    </r>
    <r>
      <rPr>
        <sz val="9"/>
        <rFont val="微软雅黑"/>
        <charset val="134"/>
      </rPr>
      <t>/</t>
    </r>
    <r>
      <rPr>
        <sz val="9"/>
        <rFont val="Noto Sans CJK SC"/>
        <charset val="134"/>
      </rPr>
      <t>驳回（</t>
    </r>
    <r>
      <rPr>
        <sz val="9"/>
        <rFont val="微软雅黑"/>
        <charset val="134"/>
      </rPr>
      <t>status=0</t>
    </r>
    <r>
      <rPr>
        <sz val="9"/>
        <rFont val="Noto Sans CJK SC"/>
        <charset val="134"/>
      </rPr>
      <t xml:space="preserve">，填写驳回原因，通知作者）；支持批量通过
</t>
    </r>
    <r>
      <rPr>
        <sz val="9"/>
        <rFont val="微软雅黑"/>
        <charset val="134"/>
      </rPr>
      <t>6.</t>
    </r>
    <r>
      <rPr>
        <sz val="9"/>
        <rFont val="Noto Sans CJK SC"/>
        <charset val="134"/>
      </rPr>
      <t>状态管理：置顶（最多</t>
    </r>
    <r>
      <rPr>
        <sz val="9"/>
        <rFont val="微软雅黑"/>
        <charset val="134"/>
      </rPr>
      <t>10</t>
    </r>
    <r>
      <rPr>
        <sz val="9"/>
        <rFont val="Noto Sans CJK SC"/>
        <charset val="134"/>
      </rPr>
      <t>篇）、推荐、热门（浏览量</t>
    </r>
    <r>
      <rPr>
        <sz val="9"/>
        <rFont val="微软雅黑"/>
        <charset val="134"/>
      </rPr>
      <t>&gt;1000</t>
    </r>
    <r>
      <rPr>
        <sz val="9"/>
        <rFont val="Noto Sans CJK SC"/>
        <charset val="134"/>
      </rPr>
      <t xml:space="preserve">自动标记）
</t>
    </r>
    <r>
      <rPr>
        <sz val="9"/>
        <rFont val="微软雅黑"/>
        <charset val="134"/>
      </rPr>
      <t>7.</t>
    </r>
    <r>
      <rPr>
        <sz val="9"/>
        <rFont val="Noto Sans CJK SC"/>
        <charset val="134"/>
      </rPr>
      <t>浏览量统计：同</t>
    </r>
    <r>
      <rPr>
        <sz val="9"/>
        <rFont val="微软雅黑"/>
        <charset val="134"/>
      </rPr>
      <t>IP 10</t>
    </r>
    <r>
      <rPr>
        <sz val="9"/>
        <rFont val="Noto Sans CJK SC"/>
        <charset val="134"/>
      </rPr>
      <t>分钟内只计</t>
    </r>
    <r>
      <rPr>
        <sz val="9"/>
        <rFont val="微软雅黑"/>
        <charset val="134"/>
      </rPr>
      <t>1</t>
    </r>
    <r>
      <rPr>
        <sz val="9"/>
        <rFont val="Noto Sans CJK SC"/>
        <charset val="134"/>
      </rPr>
      <t>次，</t>
    </r>
    <r>
      <rPr>
        <sz val="9"/>
        <rFont val="微软雅黑"/>
        <charset val="134"/>
      </rPr>
      <t>Redis</t>
    </r>
    <r>
      <rPr>
        <sz val="9"/>
        <rFont val="Noto Sans CJK SC"/>
        <charset val="134"/>
      </rPr>
      <t>计数每小时同步</t>
    </r>
    <r>
      <rPr>
        <sz val="9"/>
        <rFont val="微软雅黑"/>
        <charset val="134"/>
      </rPr>
      <t>MySQL
8.</t>
    </r>
    <r>
      <rPr>
        <sz val="9"/>
        <rFont val="Noto Sans CJK SC"/>
        <charset val="134"/>
      </rPr>
      <t>下架和删除限制：已发布须先下架再删除</t>
    </r>
  </si>
  <si>
    <t>富文本编辑器图片上传OSS；自动保存草稿；审核通知；定时发布</t>
  </si>
  <si>
    <t>知识库管理</t>
  </si>
  <si>
    <r>
      <rPr>
        <sz val="9"/>
        <rFont val="微软雅黑"/>
        <charset val="134"/>
      </rPr>
      <t>1.</t>
    </r>
    <r>
      <rPr>
        <sz val="9"/>
        <rFont val="Noto Sans CJK SC"/>
        <charset val="134"/>
      </rPr>
      <t xml:space="preserve">三级分类树管理（禁用父分类子分类自动禁用，删除时检查是否有关联文章）
</t>
    </r>
    <r>
      <rPr>
        <sz val="9"/>
        <rFont val="微软雅黑"/>
        <charset val="134"/>
      </rPr>
      <t>2.Markdown</t>
    </r>
    <r>
      <rPr>
        <sz val="9"/>
        <rFont val="Noto Sans CJK SC"/>
        <charset val="134"/>
      </rPr>
      <t>编辑器（</t>
    </r>
    <r>
      <rPr>
        <sz val="9"/>
        <rFont val="微软雅黑"/>
        <charset val="134"/>
      </rPr>
      <t>Vditor</t>
    </r>
    <r>
      <rPr>
        <sz val="9"/>
        <rFont val="Noto Sans CJK SC"/>
        <charset val="134"/>
      </rPr>
      <t>），实时预览，图片上传至</t>
    </r>
    <r>
      <rPr>
        <sz val="9"/>
        <rFont val="微软雅黑"/>
        <charset val="134"/>
      </rPr>
      <t>OSS
3.</t>
    </r>
    <r>
      <rPr>
        <sz val="9"/>
        <rFont val="Noto Sans CJK SC"/>
        <charset val="134"/>
      </rPr>
      <t>后端存储</t>
    </r>
    <r>
      <rPr>
        <sz val="9"/>
        <rFont val="微软雅黑"/>
        <charset val="134"/>
      </rPr>
      <t>content_md</t>
    </r>
    <r>
      <rPr>
        <sz val="9"/>
        <rFont val="Noto Sans CJK SC"/>
        <charset val="134"/>
      </rPr>
      <t>（原始</t>
    </r>
    <r>
      <rPr>
        <sz val="9"/>
        <rFont val="微软雅黑"/>
        <charset val="134"/>
      </rPr>
      <t>Markdown</t>
    </r>
    <r>
      <rPr>
        <sz val="9"/>
        <rFont val="Noto Sans CJK SC"/>
        <charset val="134"/>
      </rPr>
      <t>）和</t>
    </r>
    <r>
      <rPr>
        <sz val="9"/>
        <rFont val="微软雅黑"/>
        <charset val="134"/>
      </rPr>
      <t>content_html</t>
    </r>
    <r>
      <rPr>
        <sz val="9"/>
        <rFont val="Noto Sans CJK SC"/>
        <charset val="134"/>
      </rPr>
      <t>（转换后</t>
    </r>
    <r>
      <rPr>
        <sz val="9"/>
        <rFont val="微软雅黑"/>
        <charset val="134"/>
      </rPr>
      <t>HTML</t>
    </r>
    <r>
      <rPr>
        <sz val="9"/>
        <rFont val="Noto Sans CJK SC"/>
        <charset val="134"/>
      </rPr>
      <t>），使用</t>
    </r>
    <r>
      <rPr>
        <sz val="9"/>
        <rFont val="微软雅黑"/>
        <charset val="134"/>
      </rPr>
      <t>Java Markdown</t>
    </r>
    <r>
      <rPr>
        <sz val="9"/>
        <rFont val="Noto Sans CJK SC"/>
        <charset val="134"/>
      </rPr>
      <t xml:space="preserve">库转换
</t>
    </r>
    <r>
      <rPr>
        <sz val="9"/>
        <rFont val="微软雅黑"/>
        <charset val="134"/>
      </rPr>
      <t>4.</t>
    </r>
    <r>
      <rPr>
        <sz val="9"/>
        <rFont val="Noto Sans CJK SC"/>
        <charset val="134"/>
      </rPr>
      <t>版本控制：每次保存自动生成版本快照（</t>
    </r>
    <r>
      <rPr>
        <sz val="9"/>
        <rFont val="微软雅黑"/>
        <charset val="134"/>
      </rPr>
      <t>cms_knowledge_version</t>
    </r>
    <r>
      <rPr>
        <sz val="9"/>
        <rFont val="Noto Sans CJK SC"/>
        <charset val="134"/>
      </rPr>
      <t>），</t>
    </r>
    <r>
      <rPr>
        <sz val="9"/>
        <rFont val="微软雅黑"/>
        <charset val="134"/>
      </rPr>
      <t>version</t>
    </r>
    <r>
      <rPr>
        <sz val="9"/>
        <rFont val="Noto Sans CJK SC"/>
        <charset val="134"/>
      </rPr>
      <t xml:space="preserve">字段自增
</t>
    </r>
    <r>
      <rPr>
        <sz val="9"/>
        <rFont val="微软雅黑"/>
        <charset val="134"/>
      </rPr>
      <t>5.</t>
    </r>
    <r>
      <rPr>
        <sz val="9"/>
        <rFont val="Noto Sans CJK SC"/>
        <charset val="134"/>
      </rPr>
      <t>版本对比：选两个版本展示差异（新增绿色</t>
    </r>
    <r>
      <rPr>
        <sz val="9"/>
        <rFont val="微软雅黑"/>
        <charset val="134"/>
      </rPr>
      <t>/</t>
    </r>
    <r>
      <rPr>
        <sz val="9"/>
        <rFont val="Noto Sans CJK SC"/>
        <charset val="134"/>
      </rPr>
      <t xml:space="preserve">删除红色高亮）
</t>
    </r>
    <r>
      <rPr>
        <sz val="9"/>
        <rFont val="微软雅黑"/>
        <charset val="134"/>
      </rPr>
      <t>6.</t>
    </r>
    <r>
      <rPr>
        <sz val="9"/>
        <rFont val="Noto Sans CJK SC"/>
        <charset val="134"/>
      </rPr>
      <t>版本回退：将历史版本内容恢复，</t>
    </r>
    <r>
      <rPr>
        <sz val="9"/>
        <rFont val="微软雅黑"/>
        <charset val="134"/>
      </rPr>
      <t>version</t>
    </r>
    <r>
      <rPr>
        <sz val="9"/>
        <rFont val="Noto Sans CJK SC"/>
        <charset val="134"/>
      </rPr>
      <t xml:space="preserve">继续自增，记录回退日志
</t>
    </r>
    <r>
      <rPr>
        <sz val="9"/>
        <rFont val="微软雅黑"/>
        <charset val="134"/>
      </rPr>
      <t>7.</t>
    </r>
    <r>
      <rPr>
        <sz val="9"/>
        <rFont val="Noto Sans CJK SC"/>
        <charset val="134"/>
      </rPr>
      <t>版本清理：版本数</t>
    </r>
    <r>
      <rPr>
        <sz val="9"/>
        <rFont val="微软雅黑"/>
        <charset val="134"/>
      </rPr>
      <t>&gt;=50</t>
    </r>
    <r>
      <rPr>
        <sz val="9"/>
        <rFont val="Noto Sans CJK SC"/>
        <charset val="134"/>
      </rPr>
      <t xml:space="preserve">可手动删除旧版本
</t>
    </r>
    <r>
      <rPr>
        <sz val="9"/>
        <rFont val="微软雅黑"/>
        <charset val="134"/>
      </rPr>
      <t>8.</t>
    </r>
    <r>
      <rPr>
        <sz val="9"/>
        <rFont val="Noto Sans CJK SC"/>
        <charset val="134"/>
      </rPr>
      <t>发布</t>
    </r>
    <r>
      <rPr>
        <sz val="9"/>
        <rFont val="微软雅黑"/>
        <charset val="134"/>
      </rPr>
      <t>/</t>
    </r>
    <r>
      <rPr>
        <sz val="9"/>
        <rFont val="Noto Sans CJK SC"/>
        <charset val="134"/>
      </rPr>
      <t>下架控制，支持定时发布</t>
    </r>
  </si>
  <si>
    <r>
      <rPr>
        <sz val="9"/>
        <rFont val="微软雅黑"/>
        <charset val="134"/>
      </rPr>
      <t>Markdown</t>
    </r>
    <r>
      <rPr>
        <sz val="9"/>
        <rFont val="Noto Sans CJK SC"/>
        <charset val="134"/>
      </rPr>
      <t>转</t>
    </r>
    <r>
      <rPr>
        <sz val="9"/>
        <rFont val="微软雅黑"/>
        <charset val="134"/>
      </rPr>
      <t>HTML</t>
    </r>
    <r>
      <rPr>
        <sz val="9"/>
        <rFont val="Noto Sans CJK SC"/>
        <charset val="134"/>
      </rPr>
      <t>（</t>
    </r>
    <r>
      <rPr>
        <sz val="9"/>
        <rFont val="微软雅黑"/>
        <charset val="134"/>
      </rPr>
      <t>flexmark-java</t>
    </r>
    <r>
      <rPr>
        <sz val="9"/>
        <rFont val="Noto Sans CJK SC"/>
        <charset val="134"/>
      </rPr>
      <t>）；版本控制快照存储；全文搜索（</t>
    </r>
    <r>
      <rPr>
        <sz val="9"/>
        <rFont val="微软雅黑"/>
        <charset val="134"/>
      </rPr>
      <t>MySQL FULLTEXT</t>
    </r>
    <r>
      <rPr>
        <sz val="9"/>
        <rFont val="Noto Sans CJK SC"/>
        <charset val="134"/>
      </rPr>
      <t>索引）</t>
    </r>
  </si>
  <si>
    <t>视频管理</t>
  </si>
  <si>
    <r>
      <rPr>
        <sz val="9"/>
        <rFont val="微软雅黑"/>
        <charset val="134"/>
      </rPr>
      <t>1.</t>
    </r>
    <r>
      <rPr>
        <sz val="9"/>
        <rFont val="Noto Sans CJK SC"/>
        <charset val="134"/>
      </rPr>
      <t>视频上传：前端获取</t>
    </r>
    <r>
      <rPr>
        <sz val="9"/>
        <rFont val="微软雅黑"/>
        <charset val="134"/>
      </rPr>
      <t>VOD</t>
    </r>
    <r>
      <rPr>
        <sz val="9"/>
        <rFont val="Noto Sans CJK SC"/>
        <charset val="134"/>
      </rPr>
      <t>上传凭证→</t>
    </r>
    <r>
      <rPr>
        <sz val="9"/>
        <rFont val="微软雅黑"/>
        <charset val="134"/>
      </rPr>
      <t>SDK</t>
    </r>
    <r>
      <rPr>
        <sz val="9"/>
        <rFont val="Noto Sans CJK SC"/>
        <charset val="134"/>
      </rPr>
      <t>直传阿里云</t>
    </r>
    <r>
      <rPr>
        <sz val="9"/>
        <rFont val="微软雅黑"/>
        <charset val="134"/>
      </rPr>
      <t>VOD→</t>
    </r>
    <r>
      <rPr>
        <sz val="9"/>
        <rFont val="Noto Sans CJK SC"/>
        <charset val="134"/>
      </rPr>
      <t>支持断点续传</t>
    </r>
    <r>
      <rPr>
        <sz val="9"/>
        <rFont val="微软雅黑"/>
        <charset val="134"/>
      </rPr>
      <t>+</t>
    </r>
    <r>
      <rPr>
        <sz val="9"/>
        <rFont val="Noto Sans CJK SC"/>
        <charset val="134"/>
      </rPr>
      <t>进度显示→上传成功获得</t>
    </r>
    <r>
      <rPr>
        <sz val="9"/>
        <rFont val="微软雅黑"/>
        <charset val="134"/>
      </rPr>
      <t>VideoId
2.</t>
    </r>
    <r>
      <rPr>
        <sz val="9"/>
        <rFont val="Noto Sans CJK SC"/>
        <charset val="134"/>
      </rPr>
      <t>提交表单（标题</t>
    </r>
    <r>
      <rPr>
        <sz val="9"/>
        <rFont val="微软雅黑"/>
        <charset val="134"/>
      </rPr>
      <t>/</t>
    </r>
    <r>
      <rPr>
        <sz val="9"/>
        <rFont val="Noto Sans CJK SC"/>
        <charset val="134"/>
      </rPr>
      <t>分类必填）</t>
    </r>
    <r>
      <rPr>
        <sz val="9"/>
        <rFont val="微软雅黑"/>
        <charset val="134"/>
      </rPr>
      <t>+ VideoId</t>
    </r>
    <r>
      <rPr>
        <sz val="9"/>
        <rFont val="Noto Sans CJK SC"/>
        <charset val="134"/>
      </rPr>
      <t>，后端插入记录（</t>
    </r>
    <r>
      <rPr>
        <sz val="9"/>
        <rFont val="微软雅黑"/>
        <charset val="134"/>
      </rPr>
      <t>transcode_status=0</t>
    </r>
    <r>
      <rPr>
        <sz val="9"/>
        <rFont val="Noto Sans CJK SC"/>
        <charset val="134"/>
      </rPr>
      <t xml:space="preserve">）并提交转码任务
</t>
    </r>
    <r>
      <rPr>
        <sz val="9"/>
        <rFont val="微软雅黑"/>
        <charset val="134"/>
      </rPr>
      <t>3.</t>
    </r>
    <r>
      <rPr>
        <sz val="9"/>
        <rFont val="Noto Sans CJK SC"/>
        <charset val="134"/>
      </rPr>
      <t>转码回调：验证签名→解析</t>
    </r>
    <r>
      <rPr>
        <sz val="9"/>
        <rFont val="微软雅黑"/>
        <charset val="134"/>
      </rPr>
      <t>VideoId/</t>
    </r>
    <r>
      <rPr>
        <sz val="9"/>
        <rFont val="Noto Sans CJK SC"/>
        <charset val="134"/>
      </rPr>
      <t>状态</t>
    </r>
    <r>
      <rPr>
        <sz val="9"/>
        <rFont val="微软雅黑"/>
        <charset val="134"/>
      </rPr>
      <t>/</t>
    </r>
    <r>
      <rPr>
        <sz val="9"/>
        <rFont val="Noto Sans CJK SC"/>
        <charset val="134"/>
      </rPr>
      <t>地址</t>
    </r>
    <r>
      <rPr>
        <sz val="9"/>
        <rFont val="微软雅黑"/>
        <charset val="134"/>
      </rPr>
      <t>/</t>
    </r>
    <r>
      <rPr>
        <sz val="9"/>
        <rFont val="Noto Sans CJK SC"/>
        <charset val="134"/>
      </rPr>
      <t>时长</t>
    </r>
    <r>
      <rPr>
        <sz val="9"/>
        <rFont val="微软雅黑"/>
        <charset val="134"/>
      </rPr>
      <t>/</t>
    </r>
    <r>
      <rPr>
        <sz val="9"/>
        <rFont val="Noto Sans CJK SC"/>
        <charset val="134"/>
      </rPr>
      <t>分辨率→更新</t>
    </r>
    <r>
      <rPr>
        <sz val="9"/>
        <rFont val="微软雅黑"/>
        <charset val="134"/>
      </rPr>
      <t>transcode_status</t>
    </r>
    <r>
      <rPr>
        <sz val="9"/>
        <rFont val="Noto Sans CJK SC"/>
        <charset val="134"/>
      </rPr>
      <t>（成功</t>
    </r>
    <r>
      <rPr>
        <sz val="9"/>
        <rFont val="微软雅黑"/>
        <charset val="134"/>
      </rPr>
      <t>=2</t>
    </r>
    <r>
      <rPr>
        <sz val="9"/>
        <rFont val="Noto Sans CJK SC"/>
        <charset val="134"/>
      </rPr>
      <t>，失败</t>
    </r>
    <r>
      <rPr>
        <sz val="9"/>
        <rFont val="微软雅黑"/>
        <charset val="134"/>
      </rPr>
      <t>=3</t>
    </r>
    <r>
      <rPr>
        <sz val="9"/>
        <rFont val="Noto Sans CJK SC"/>
        <charset val="134"/>
      </rPr>
      <t xml:space="preserve">）
</t>
    </r>
    <r>
      <rPr>
        <sz val="9"/>
        <rFont val="微软雅黑"/>
        <charset val="134"/>
      </rPr>
      <t>4.</t>
    </r>
    <r>
      <rPr>
        <sz val="9"/>
        <rFont val="Noto Sans CJK SC"/>
        <charset val="134"/>
      </rPr>
      <t>转码失败自动重试（</t>
    </r>
    <r>
      <rPr>
        <sz val="9"/>
        <rFont val="微软雅黑"/>
        <charset val="134"/>
      </rPr>
      <t>5</t>
    </r>
    <r>
      <rPr>
        <sz val="9"/>
        <rFont val="Noto Sans CJK SC"/>
        <charset val="134"/>
      </rPr>
      <t>分钟</t>
    </r>
    <r>
      <rPr>
        <sz val="9"/>
        <rFont val="微软雅黑"/>
        <charset val="134"/>
      </rPr>
      <t>/15</t>
    </r>
    <r>
      <rPr>
        <sz val="9"/>
        <rFont val="Noto Sans CJK SC"/>
        <charset val="134"/>
      </rPr>
      <t>分钟</t>
    </r>
    <r>
      <rPr>
        <sz val="9"/>
        <rFont val="微软雅黑"/>
        <charset val="134"/>
      </rPr>
      <t>/30</t>
    </r>
    <r>
      <rPr>
        <sz val="9"/>
        <rFont val="Noto Sans CJK SC"/>
        <charset val="134"/>
      </rPr>
      <t>分钟），</t>
    </r>
    <r>
      <rPr>
        <sz val="9"/>
        <rFont val="微软雅黑"/>
        <charset val="134"/>
      </rPr>
      <t>3</t>
    </r>
    <r>
      <rPr>
        <sz val="9"/>
        <rFont val="Noto Sans CJK SC"/>
        <charset val="134"/>
      </rPr>
      <t xml:space="preserve">次失败后告警
</t>
    </r>
    <r>
      <rPr>
        <sz val="9"/>
        <rFont val="微软雅黑"/>
        <charset val="134"/>
      </rPr>
      <t>5.</t>
    </r>
    <r>
      <rPr>
        <sz val="9"/>
        <rFont val="Noto Sans CJK SC"/>
        <charset val="134"/>
      </rPr>
      <t>封面图：手动上传 或 视频截帧（输入时间点调用</t>
    </r>
    <r>
      <rPr>
        <sz val="9"/>
        <rFont val="微软雅黑"/>
        <charset val="134"/>
      </rPr>
      <t>VOD</t>
    </r>
    <r>
      <rPr>
        <sz val="9"/>
        <rFont val="Noto Sans CJK SC"/>
        <charset val="134"/>
      </rPr>
      <t xml:space="preserve">截图接口）
</t>
    </r>
    <r>
      <rPr>
        <sz val="9"/>
        <rFont val="微软雅黑"/>
        <charset val="134"/>
      </rPr>
      <t>6.</t>
    </r>
    <r>
      <rPr>
        <sz val="9"/>
        <rFont val="Noto Sans CJK SC"/>
        <charset val="134"/>
      </rPr>
      <t>视频加密：私有加密，</t>
    </r>
    <r>
      <rPr>
        <sz val="9"/>
        <rFont val="微软雅黑"/>
        <charset val="134"/>
      </rPr>
      <t>C</t>
    </r>
    <r>
      <rPr>
        <sz val="9"/>
        <rFont val="Noto Sans CJK SC"/>
        <charset val="134"/>
      </rPr>
      <t>端播放须获取</t>
    </r>
    <r>
      <rPr>
        <sz val="9"/>
        <rFont val="微软雅黑"/>
        <charset val="134"/>
      </rPr>
      <t>30</t>
    </r>
    <r>
      <rPr>
        <sz val="9"/>
        <rFont val="Noto Sans CJK SC"/>
        <charset val="134"/>
      </rPr>
      <t>分钟有效期</t>
    </r>
    <r>
      <rPr>
        <sz val="9"/>
        <rFont val="微软雅黑"/>
        <charset val="134"/>
      </rPr>
      <t>PlayAuth
7.</t>
    </r>
    <r>
      <rPr>
        <sz val="9"/>
        <rFont val="Noto Sans CJK SC"/>
        <charset val="134"/>
      </rPr>
      <t xml:space="preserve">分类一级管理（删除时校验关联视频）
</t>
    </r>
    <r>
      <rPr>
        <sz val="9"/>
        <rFont val="微软雅黑"/>
        <charset val="134"/>
      </rPr>
      <t>8.</t>
    </r>
    <r>
      <rPr>
        <sz val="9"/>
        <rFont val="Noto Sans CJK SC"/>
        <charset val="134"/>
      </rPr>
      <t xml:space="preserve">上架限制：转码未完成不可上架
</t>
    </r>
    <r>
      <rPr>
        <sz val="9"/>
        <rFont val="微软雅黑"/>
        <charset val="134"/>
      </rPr>
      <t>9.</t>
    </r>
    <r>
      <rPr>
        <sz val="9"/>
        <rFont val="Noto Sans CJK SC"/>
        <charset val="134"/>
      </rPr>
      <t>删除：检查活动</t>
    </r>
    <r>
      <rPr>
        <sz val="9"/>
        <rFont val="微软雅黑"/>
        <charset val="134"/>
      </rPr>
      <t>/</t>
    </r>
    <r>
      <rPr>
        <sz val="9"/>
        <rFont val="Noto Sans CJK SC"/>
        <charset val="134"/>
      </rPr>
      <t>文章引用，逻辑删除</t>
    </r>
    <r>
      <rPr>
        <sz val="9"/>
        <rFont val="微软雅黑"/>
        <charset val="134"/>
      </rPr>
      <t>+</t>
    </r>
    <r>
      <rPr>
        <sz val="9"/>
        <rFont val="Noto Sans CJK SC"/>
        <charset val="134"/>
      </rPr>
      <t>异步删除</t>
    </r>
    <r>
      <rPr>
        <sz val="9"/>
        <rFont val="微软雅黑"/>
        <charset val="134"/>
      </rPr>
      <t>VOD</t>
    </r>
    <r>
      <rPr>
        <sz val="9"/>
        <rFont val="Noto Sans CJK SC"/>
        <charset val="134"/>
      </rPr>
      <t xml:space="preserve">资源
</t>
    </r>
    <r>
      <rPr>
        <sz val="9"/>
        <rFont val="微软雅黑"/>
        <charset val="134"/>
      </rPr>
      <t>10.</t>
    </r>
    <r>
      <rPr>
        <sz val="9"/>
        <rFont val="Noto Sans CJK SC"/>
        <charset val="134"/>
      </rPr>
      <t>播放量统计：</t>
    </r>
    <r>
      <rPr>
        <sz val="9"/>
        <rFont val="微软雅黑"/>
        <charset val="134"/>
      </rPr>
      <t>Redis</t>
    </r>
    <r>
      <rPr>
        <sz val="9"/>
        <rFont val="Noto Sans CJK SC"/>
        <charset val="134"/>
      </rPr>
      <t>实时计数，每小时同步</t>
    </r>
    <r>
      <rPr>
        <sz val="9"/>
        <rFont val="微软雅黑"/>
        <charset val="134"/>
      </rPr>
      <t>MySQL</t>
    </r>
  </si>
  <si>
    <t>阿里云VOD上传SDK+凭证获取；转码回调签名验证；视频加密PlayAuth；断点续传</t>
  </si>
  <si>
    <t>活动管理</t>
  </si>
  <si>
    <t>活动创建</t>
  </si>
  <si>
    <r>
      <rPr>
        <sz val="9"/>
        <rFont val="微软雅黑"/>
        <charset val="134"/>
      </rPr>
      <t>1.</t>
    </r>
    <r>
      <rPr>
        <sz val="9"/>
        <rFont val="Noto Sans CJK SC"/>
        <charset val="134"/>
      </rPr>
      <t>步骤式表单（</t>
    </r>
    <r>
      <rPr>
        <sz val="9"/>
        <rFont val="微软雅黑"/>
        <charset val="134"/>
      </rPr>
      <t>4</t>
    </r>
    <r>
      <rPr>
        <sz val="9"/>
        <rFont val="Noto Sans CJK SC"/>
        <charset val="134"/>
      </rPr>
      <t>步）：基础信息→活动规则→目标用户→产品范围</t>
    </r>
    <r>
      <rPr>
        <sz val="9"/>
        <rFont val="微软雅黑"/>
        <charset val="134"/>
      </rPr>
      <t>&amp;</t>
    </r>
    <r>
      <rPr>
        <sz val="9"/>
        <rFont val="Noto Sans CJK SC"/>
        <charset val="134"/>
      </rPr>
      <t xml:space="preserve">参与限制
</t>
    </r>
    <r>
      <rPr>
        <sz val="9"/>
        <rFont val="微软雅黑"/>
        <charset val="134"/>
      </rPr>
      <t>2.</t>
    </r>
    <r>
      <rPr>
        <sz val="9"/>
        <rFont val="Noto Sans CJK SC"/>
        <charset val="134"/>
      </rPr>
      <t>基础信息：名称</t>
    </r>
    <r>
      <rPr>
        <sz val="9"/>
        <rFont val="微软雅黑"/>
        <charset val="134"/>
      </rPr>
      <t>/</t>
    </r>
    <r>
      <rPr>
        <sz val="9"/>
        <rFont val="Noto Sans CJK SC"/>
        <charset val="134"/>
      </rPr>
      <t>类型</t>
    </r>
    <r>
      <rPr>
        <sz val="9"/>
        <rFont val="微软雅黑"/>
        <charset val="134"/>
      </rPr>
      <t>/</t>
    </r>
    <r>
      <rPr>
        <sz val="9"/>
        <rFont val="Noto Sans CJK SC"/>
        <charset val="134"/>
      </rPr>
      <t>封面图</t>
    </r>
    <r>
      <rPr>
        <sz val="9"/>
        <rFont val="微软雅黑"/>
        <charset val="134"/>
      </rPr>
      <t>/</t>
    </r>
    <r>
      <rPr>
        <sz val="9"/>
        <rFont val="Noto Sans CJK SC"/>
        <charset val="134"/>
      </rPr>
      <t>时间（</t>
    </r>
    <r>
      <rPr>
        <sz val="9"/>
        <rFont val="微软雅黑"/>
        <charset val="134"/>
      </rPr>
      <t>end&gt;start</t>
    </r>
    <r>
      <rPr>
        <sz val="9"/>
        <rFont val="Noto Sans CJK SC"/>
        <charset val="134"/>
      </rPr>
      <t>）</t>
    </r>
    <r>
      <rPr>
        <sz val="9"/>
        <rFont val="微软雅黑"/>
        <charset val="134"/>
      </rPr>
      <t>/</t>
    </r>
    <r>
      <rPr>
        <sz val="9"/>
        <rFont val="Noto Sans CJK SC"/>
        <charset val="134"/>
      </rPr>
      <t xml:space="preserve">活动描述（富文本）
</t>
    </r>
    <r>
      <rPr>
        <sz val="9"/>
        <rFont val="微软雅黑"/>
        <charset val="134"/>
      </rPr>
      <t>3.</t>
    </r>
    <r>
      <rPr>
        <sz val="9"/>
        <rFont val="Noto Sans CJK SC"/>
        <charset val="134"/>
      </rPr>
      <t>活动类型</t>
    </r>
    <r>
      <rPr>
        <sz val="9"/>
        <rFont val="微软雅黑"/>
        <charset val="134"/>
      </rPr>
      <t>7</t>
    </r>
    <r>
      <rPr>
        <sz val="9"/>
        <rFont val="Noto Sans CJK SC"/>
        <charset val="134"/>
      </rPr>
      <t>种（新人礼</t>
    </r>
    <r>
      <rPr>
        <sz val="9"/>
        <rFont val="微软雅黑"/>
        <charset val="134"/>
      </rPr>
      <t>/</t>
    </r>
    <r>
      <rPr>
        <sz val="9"/>
        <rFont val="Noto Sans CJK SC"/>
        <charset val="134"/>
      </rPr>
      <t>满减</t>
    </r>
    <r>
      <rPr>
        <sz val="9"/>
        <rFont val="微软雅黑"/>
        <charset val="134"/>
      </rPr>
      <t>/</t>
    </r>
    <r>
      <rPr>
        <sz val="9"/>
        <rFont val="Noto Sans CJK SC"/>
        <charset val="134"/>
      </rPr>
      <t>折扣</t>
    </r>
    <r>
      <rPr>
        <sz val="9"/>
        <rFont val="微软雅黑"/>
        <charset val="134"/>
      </rPr>
      <t>/</t>
    </r>
    <r>
      <rPr>
        <sz val="9"/>
        <rFont val="Noto Sans CJK SC"/>
        <charset val="134"/>
      </rPr>
      <t>赠品</t>
    </r>
    <r>
      <rPr>
        <sz val="9"/>
        <rFont val="微软雅黑"/>
        <charset val="134"/>
      </rPr>
      <t>/</t>
    </r>
    <r>
      <rPr>
        <sz val="9"/>
        <rFont val="Noto Sans CJK SC"/>
        <charset val="134"/>
      </rPr>
      <t>拼团</t>
    </r>
    <r>
      <rPr>
        <sz val="9"/>
        <rFont val="微软雅黑"/>
        <charset val="134"/>
      </rPr>
      <t>/</t>
    </r>
    <r>
      <rPr>
        <sz val="9"/>
        <rFont val="Noto Sans CJK SC"/>
        <charset val="134"/>
      </rPr>
      <t>秒杀</t>
    </r>
    <r>
      <rPr>
        <sz val="9"/>
        <rFont val="微软雅黑"/>
        <charset val="134"/>
      </rPr>
      <t>/</t>
    </r>
    <r>
      <rPr>
        <sz val="9"/>
        <rFont val="Noto Sans CJK SC"/>
        <charset val="134"/>
      </rPr>
      <t xml:space="preserve">积分兑换），每种类型动态展示对应规则配置项：
  </t>
    </r>
    <r>
      <rPr>
        <sz val="9"/>
        <rFont val="微软雅黑"/>
        <charset val="134"/>
      </rPr>
      <t xml:space="preserve">- </t>
    </r>
    <r>
      <rPr>
        <sz val="9"/>
        <rFont val="Noto Sans CJK SC"/>
        <charset val="134"/>
      </rPr>
      <t>新人礼：奖励优惠券包</t>
    </r>
    <r>
      <rPr>
        <sz val="9"/>
        <rFont val="微软雅黑"/>
        <charset val="134"/>
      </rPr>
      <t>+</t>
    </r>
    <r>
      <rPr>
        <sz val="9"/>
        <rFont val="Noto Sans CJK SC"/>
        <charset val="134"/>
      </rPr>
      <t xml:space="preserve">积分，可选实名认证要求
  </t>
    </r>
    <r>
      <rPr>
        <sz val="9"/>
        <rFont val="微软雅黑"/>
        <charset val="134"/>
      </rPr>
      <t xml:space="preserve">- </t>
    </r>
    <r>
      <rPr>
        <sz val="9"/>
        <rFont val="Noto Sans CJK SC"/>
        <charset val="134"/>
      </rPr>
      <t>满减：多档阶梯配置（最多</t>
    </r>
    <r>
      <rPr>
        <sz val="9"/>
        <rFont val="微软雅黑"/>
        <charset val="134"/>
      </rPr>
      <t>5</t>
    </r>
    <r>
      <rPr>
        <sz val="9"/>
        <rFont val="Noto Sans CJK SC"/>
        <charset val="134"/>
      </rPr>
      <t xml:space="preserve">档），校验各档单调递增
  </t>
    </r>
    <r>
      <rPr>
        <sz val="9"/>
        <rFont val="微软雅黑"/>
        <charset val="134"/>
      </rPr>
      <t xml:space="preserve">- </t>
    </r>
    <r>
      <rPr>
        <sz val="9"/>
        <rFont val="Noto Sans CJK SC"/>
        <charset val="134"/>
      </rPr>
      <t>折扣：折扣率</t>
    </r>
    <r>
      <rPr>
        <sz val="9"/>
        <rFont val="微软雅黑"/>
        <charset val="134"/>
      </rPr>
      <t>1-99</t>
    </r>
    <r>
      <rPr>
        <sz val="9"/>
        <rFont val="Noto Sans CJK SC"/>
        <charset val="134"/>
      </rPr>
      <t xml:space="preserve">，最高优惠金额
  </t>
    </r>
    <r>
      <rPr>
        <sz val="9"/>
        <rFont val="微软雅黑"/>
        <charset val="134"/>
      </rPr>
      <t xml:space="preserve">- </t>
    </r>
    <r>
      <rPr>
        <sz val="9"/>
        <rFont val="Noto Sans CJK SC"/>
        <charset val="134"/>
      </rPr>
      <t>拼团：成团人数</t>
    </r>
    <r>
      <rPr>
        <sz val="9"/>
        <rFont val="微软雅黑"/>
        <charset val="134"/>
      </rPr>
      <t>/</t>
    </r>
    <r>
      <rPr>
        <sz val="9"/>
        <rFont val="Noto Sans CJK SC"/>
        <charset val="134"/>
      </rPr>
      <t>价格</t>
    </r>
    <r>
      <rPr>
        <sz val="9"/>
        <rFont val="微软雅黑"/>
        <charset val="134"/>
      </rPr>
      <t>/</t>
    </r>
    <r>
      <rPr>
        <sz val="9"/>
        <rFont val="Noto Sans CJK SC"/>
        <charset val="134"/>
      </rPr>
      <t>有效期</t>
    </r>
    <r>
      <rPr>
        <sz val="9"/>
        <rFont val="微软雅黑"/>
        <charset val="134"/>
      </rPr>
      <t>/</t>
    </r>
    <r>
      <rPr>
        <sz val="9"/>
        <rFont val="Noto Sans CJK SC"/>
        <charset val="134"/>
      </rPr>
      <t xml:space="preserve">模拟成团
  </t>
    </r>
    <r>
      <rPr>
        <sz val="9"/>
        <rFont val="微软雅黑"/>
        <charset val="134"/>
      </rPr>
      <t xml:space="preserve">- </t>
    </r>
    <r>
      <rPr>
        <sz val="9"/>
        <rFont val="Noto Sans CJK SC"/>
        <charset val="134"/>
      </rPr>
      <t>秒杀：价格</t>
    </r>
    <r>
      <rPr>
        <sz val="9"/>
        <rFont val="微软雅黑"/>
        <charset val="134"/>
      </rPr>
      <t>/</t>
    </r>
    <r>
      <rPr>
        <sz val="9"/>
        <rFont val="Noto Sans CJK SC"/>
        <charset val="134"/>
      </rPr>
      <t>库存</t>
    </r>
    <r>
      <rPr>
        <sz val="9"/>
        <rFont val="微软雅黑"/>
        <charset val="134"/>
      </rPr>
      <t>/</t>
    </r>
    <r>
      <rPr>
        <sz val="9"/>
        <rFont val="Noto Sans CJK SC"/>
        <charset val="134"/>
      </rPr>
      <t>限购</t>
    </r>
    <r>
      <rPr>
        <sz val="9"/>
        <rFont val="微软雅黑"/>
        <charset val="134"/>
      </rPr>
      <t>/</t>
    </r>
    <r>
      <rPr>
        <sz val="9"/>
        <rFont val="Noto Sans CJK SC"/>
        <charset val="134"/>
      </rPr>
      <t xml:space="preserve">多时段配置
</t>
    </r>
    <r>
      <rPr>
        <sz val="9"/>
        <rFont val="微软雅黑"/>
        <charset val="134"/>
      </rPr>
      <t>4.</t>
    </r>
    <r>
      <rPr>
        <sz val="9"/>
        <rFont val="Noto Sans CJK SC"/>
        <charset val="134"/>
      </rPr>
      <t>目标用户：全部</t>
    </r>
    <r>
      <rPr>
        <sz val="9"/>
        <rFont val="微软雅黑"/>
        <charset val="134"/>
      </rPr>
      <t>/</t>
    </r>
    <r>
      <rPr>
        <sz val="9"/>
        <rFont val="Noto Sans CJK SC"/>
        <charset val="134"/>
      </rPr>
      <t>新用户</t>
    </r>
    <r>
      <rPr>
        <sz val="9"/>
        <rFont val="微软雅黑"/>
        <charset val="134"/>
      </rPr>
      <t>/</t>
    </r>
    <r>
      <rPr>
        <sz val="9"/>
        <rFont val="Noto Sans CJK SC"/>
        <charset val="134"/>
      </rPr>
      <t>老用户</t>
    </r>
    <r>
      <rPr>
        <sz val="9"/>
        <rFont val="微软雅黑"/>
        <charset val="134"/>
      </rPr>
      <t>/</t>
    </r>
    <r>
      <rPr>
        <sz val="9"/>
        <rFont val="Noto Sans CJK SC"/>
        <charset val="134"/>
      </rPr>
      <t>指定用户（上传</t>
    </r>
    <r>
      <rPr>
        <sz val="9"/>
        <rFont val="微软雅黑"/>
        <charset val="134"/>
      </rPr>
      <t>Excel</t>
    </r>
    <r>
      <rPr>
        <sz val="9"/>
        <rFont val="Noto Sans CJK SC"/>
        <charset val="134"/>
      </rPr>
      <t>或选标签），配置存</t>
    </r>
    <r>
      <rPr>
        <sz val="9"/>
        <rFont val="微软雅黑"/>
        <charset val="134"/>
      </rPr>
      <t>JSON
5.</t>
    </r>
    <r>
      <rPr>
        <sz val="9"/>
        <rFont val="Noto Sans CJK SC"/>
        <charset val="134"/>
      </rPr>
      <t>产品范围：全部</t>
    </r>
    <r>
      <rPr>
        <sz val="9"/>
        <rFont val="微软雅黑"/>
        <charset val="134"/>
      </rPr>
      <t>/</t>
    </r>
    <r>
      <rPr>
        <sz val="9"/>
        <rFont val="Noto Sans CJK SC"/>
        <charset val="134"/>
      </rPr>
      <t>指定分类</t>
    </r>
    <r>
      <rPr>
        <sz val="9"/>
        <rFont val="微软雅黑"/>
        <charset val="134"/>
      </rPr>
      <t>/</t>
    </r>
    <r>
      <rPr>
        <sz val="9"/>
        <rFont val="Noto Sans CJK SC"/>
        <charset val="134"/>
      </rPr>
      <t>指定产品（支持批量</t>
    </r>
    <r>
      <rPr>
        <sz val="9"/>
        <rFont val="微软雅黑"/>
        <charset val="134"/>
      </rPr>
      <t>Excel</t>
    </r>
    <r>
      <rPr>
        <sz val="9"/>
        <rFont val="Noto Sans CJK SC"/>
        <charset val="134"/>
      </rPr>
      <t>导入）</t>
    </r>
    <r>
      <rPr>
        <sz val="9"/>
        <rFont val="微软雅黑"/>
        <charset val="134"/>
      </rPr>
      <t>+</t>
    </r>
    <r>
      <rPr>
        <sz val="9"/>
        <rFont val="Noto Sans CJK SC"/>
        <charset val="134"/>
      </rPr>
      <t xml:space="preserve">排除产品
</t>
    </r>
    <r>
      <rPr>
        <sz val="9"/>
        <rFont val="微软雅黑"/>
        <charset val="134"/>
      </rPr>
      <t>6.</t>
    </r>
    <r>
      <rPr>
        <sz val="9"/>
        <rFont val="Noto Sans CJK SC"/>
        <charset val="134"/>
      </rPr>
      <t>参与限制：不限</t>
    </r>
    <r>
      <rPr>
        <sz val="9"/>
        <rFont val="微软雅黑"/>
        <charset val="134"/>
      </rPr>
      <t>/</t>
    </r>
    <r>
      <rPr>
        <sz val="9"/>
        <rFont val="Noto Sans CJK SC"/>
        <charset val="134"/>
      </rPr>
      <t>按次数</t>
    </r>
    <r>
      <rPr>
        <sz val="9"/>
        <rFont val="微软雅黑"/>
        <charset val="134"/>
      </rPr>
      <t>/</t>
    </r>
    <r>
      <rPr>
        <sz val="9"/>
        <rFont val="Noto Sans CJK SC"/>
        <charset val="134"/>
      </rPr>
      <t>按频率（每天</t>
    </r>
    <r>
      <rPr>
        <sz val="9"/>
        <rFont val="微软雅黑"/>
        <charset val="134"/>
      </rPr>
      <t>/</t>
    </r>
    <r>
      <rPr>
        <sz val="9"/>
        <rFont val="Noto Sans CJK SC"/>
        <charset val="134"/>
      </rPr>
      <t>周</t>
    </r>
    <r>
      <rPr>
        <sz val="9"/>
        <rFont val="微软雅黑"/>
        <charset val="134"/>
      </rPr>
      <t>/</t>
    </r>
    <r>
      <rPr>
        <sz val="9"/>
        <rFont val="Noto Sans CJK SC"/>
        <charset val="134"/>
      </rPr>
      <t xml:space="preserve">月），关联优惠券和赠送积分配置
</t>
    </r>
    <r>
      <rPr>
        <sz val="9"/>
        <rFont val="微软雅黑"/>
        <charset val="134"/>
      </rPr>
      <t>7.</t>
    </r>
    <r>
      <rPr>
        <sz val="9"/>
        <rFont val="Noto Sans CJK SC"/>
        <charset val="134"/>
      </rPr>
      <t xml:space="preserve">可保存草稿或直接提交审核
</t>
    </r>
    <r>
      <rPr>
        <sz val="9"/>
        <rFont val="微软雅黑"/>
        <charset val="134"/>
      </rPr>
      <t>8.</t>
    </r>
    <r>
      <rPr>
        <sz val="9"/>
        <rFont val="Noto Sans CJK SC"/>
        <charset val="134"/>
      </rPr>
      <t>活动编号自动生成（唯一）</t>
    </r>
  </si>
  <si>
    <t>多类型活动规则配置动态渲染；产品批量Excel导入；复杂规则JSON存储</t>
  </si>
  <si>
    <t>活动审核</t>
  </si>
  <si>
    <r>
      <rPr>
        <sz val="9"/>
        <rFont val="微软雅黑"/>
        <charset val="134"/>
      </rPr>
      <t>1.</t>
    </r>
    <r>
      <rPr>
        <sz val="9"/>
        <rFont val="Noto Sans CJK SC"/>
        <charset val="134"/>
      </rPr>
      <t>提交审核：</t>
    </r>
    <r>
      <rPr>
        <sz val="9"/>
        <rFont val="微软雅黑"/>
        <charset val="134"/>
      </rPr>
      <t>status 0→1</t>
    </r>
    <r>
      <rPr>
        <sz val="9"/>
        <rFont val="Noto Sans CJK SC"/>
        <charset val="134"/>
      </rPr>
      <t xml:space="preserve">，站内消息通知有审核权限用户
</t>
    </r>
    <r>
      <rPr>
        <sz val="9"/>
        <rFont val="微软雅黑"/>
        <charset val="134"/>
      </rPr>
      <t>2.</t>
    </r>
    <r>
      <rPr>
        <sz val="9"/>
        <rFont val="Noto Sans CJK SC"/>
        <charset val="134"/>
      </rPr>
      <t>审核弹窗：展示活动详情</t>
    </r>
    <r>
      <rPr>
        <sz val="9"/>
        <rFont val="微软雅黑"/>
        <charset val="134"/>
      </rPr>
      <t>+</t>
    </r>
    <r>
      <rPr>
        <sz val="9"/>
        <rFont val="Noto Sans CJK SC"/>
        <charset val="134"/>
      </rPr>
      <t>规则预览；操作：通过（</t>
    </r>
    <r>
      <rPr>
        <sz val="9"/>
        <rFont val="微软雅黑"/>
        <charset val="134"/>
      </rPr>
      <t>audit_status=1</t>
    </r>
    <r>
      <rPr>
        <sz val="9"/>
        <rFont val="Noto Sans CJK SC"/>
        <charset val="134"/>
      </rPr>
      <t>，</t>
    </r>
    <r>
      <rPr>
        <sz val="9"/>
        <rFont val="微软雅黑"/>
        <charset val="134"/>
      </rPr>
      <t>status=2</t>
    </r>
    <r>
      <rPr>
        <sz val="9"/>
        <rFont val="Noto Sans CJK SC"/>
        <charset val="134"/>
      </rPr>
      <t>，通知创建者）或驳回（填写驳回原因必填，</t>
    </r>
    <r>
      <rPr>
        <sz val="9"/>
        <rFont val="微软雅黑"/>
        <charset val="134"/>
      </rPr>
      <t>status</t>
    </r>
    <r>
      <rPr>
        <sz val="9"/>
        <rFont val="Noto Sans CJK SC"/>
        <charset val="134"/>
      </rPr>
      <t>回</t>
    </r>
    <r>
      <rPr>
        <sz val="9"/>
        <rFont val="微软雅黑"/>
        <charset val="134"/>
      </rPr>
      <t>0</t>
    </r>
    <r>
      <rPr>
        <sz val="9"/>
        <rFont val="Noto Sans CJK SC"/>
        <charset val="134"/>
      </rPr>
      <t xml:space="preserve">，通知创建者含原因）
</t>
    </r>
    <r>
      <rPr>
        <sz val="9"/>
        <rFont val="微软雅黑"/>
        <charset val="134"/>
      </rPr>
      <t>3.</t>
    </r>
    <r>
      <rPr>
        <sz val="9"/>
        <rFont val="Noto Sans CJK SC"/>
        <charset val="134"/>
      </rPr>
      <t>审核记录写入</t>
    </r>
    <r>
      <rPr>
        <sz val="9"/>
        <rFont val="微软雅黑"/>
        <charset val="134"/>
      </rPr>
      <t>mkt_activity_audit</t>
    </r>
    <r>
      <rPr>
        <sz val="9"/>
        <rFont val="Noto Sans CJK SC"/>
        <charset val="134"/>
      </rPr>
      <t xml:space="preserve">表
</t>
    </r>
    <r>
      <rPr>
        <sz val="9"/>
        <rFont val="微软雅黑"/>
        <charset val="134"/>
      </rPr>
      <t>4.</t>
    </r>
    <r>
      <rPr>
        <sz val="9"/>
        <rFont val="Noto Sans CJK SC"/>
        <charset val="134"/>
      </rPr>
      <t>支持撤回审核（</t>
    </r>
    <r>
      <rPr>
        <sz val="9"/>
        <rFont val="微软雅黑"/>
        <charset val="134"/>
      </rPr>
      <t>status 1→0</t>
    </r>
    <r>
      <rPr>
        <sz val="9"/>
        <rFont val="Noto Sans CJK SC"/>
        <charset val="134"/>
      </rPr>
      <t xml:space="preserve">）
</t>
    </r>
    <r>
      <rPr>
        <sz val="9"/>
        <rFont val="微软雅黑"/>
        <charset val="134"/>
      </rPr>
      <t>5.</t>
    </r>
    <r>
      <rPr>
        <sz val="9"/>
        <rFont val="Noto Sans CJK SC"/>
        <charset val="134"/>
      </rPr>
      <t xml:space="preserve">支持批量通过（仅通过，不支持批量驳回）
</t>
    </r>
    <r>
      <rPr>
        <sz val="9"/>
        <rFont val="微软雅黑"/>
        <charset val="134"/>
      </rPr>
      <t>6.</t>
    </r>
    <r>
      <rPr>
        <sz val="9"/>
        <rFont val="Noto Sans CJK SC"/>
        <charset val="134"/>
      </rPr>
      <t>驳回后可修改重新提交</t>
    </r>
  </si>
  <si>
    <t>消息通知系统；审核记录追踪</t>
  </si>
  <si>
    <t>活动列表</t>
  </si>
  <si>
    <r>
      <rPr>
        <sz val="9"/>
        <rFont val="微软雅黑"/>
        <charset val="134"/>
      </rPr>
      <t>1.</t>
    </r>
    <r>
      <rPr>
        <sz val="9"/>
        <rFont val="Noto Sans CJK SC"/>
        <charset val="134"/>
      </rPr>
      <t>分页列表：封面图</t>
    </r>
    <r>
      <rPr>
        <sz val="9"/>
        <rFont val="微软雅黑"/>
        <charset val="134"/>
      </rPr>
      <t>/</t>
    </r>
    <r>
      <rPr>
        <sz val="9"/>
        <rFont val="Noto Sans CJK SC"/>
        <charset val="134"/>
      </rPr>
      <t>名称</t>
    </r>
    <r>
      <rPr>
        <sz val="9"/>
        <rFont val="微软雅黑"/>
        <charset val="134"/>
      </rPr>
      <t>/</t>
    </r>
    <r>
      <rPr>
        <sz val="9"/>
        <rFont val="Noto Sans CJK SC"/>
        <charset val="134"/>
      </rPr>
      <t>编号</t>
    </r>
    <r>
      <rPr>
        <sz val="9"/>
        <rFont val="微软雅黑"/>
        <charset val="134"/>
      </rPr>
      <t>/</t>
    </r>
    <r>
      <rPr>
        <sz val="9"/>
        <rFont val="Noto Sans CJK SC"/>
        <charset val="134"/>
      </rPr>
      <t>类型</t>
    </r>
    <r>
      <rPr>
        <sz val="9"/>
        <rFont val="微软雅黑"/>
        <charset val="134"/>
      </rPr>
      <t>/</t>
    </r>
    <r>
      <rPr>
        <sz val="9"/>
        <rFont val="Noto Sans CJK SC"/>
        <charset val="134"/>
      </rPr>
      <t>时间</t>
    </r>
    <r>
      <rPr>
        <sz val="9"/>
        <rFont val="微软雅黑"/>
        <charset val="134"/>
      </rPr>
      <t>/</t>
    </r>
    <r>
      <rPr>
        <sz val="9"/>
        <rFont val="Noto Sans CJK SC"/>
        <charset val="134"/>
      </rPr>
      <t>状态</t>
    </r>
    <r>
      <rPr>
        <sz val="9"/>
        <rFont val="微软雅黑"/>
        <charset val="134"/>
      </rPr>
      <t>/</t>
    </r>
    <r>
      <rPr>
        <sz val="9"/>
        <rFont val="Noto Sans CJK SC"/>
        <charset val="134"/>
      </rPr>
      <t>浏览量</t>
    </r>
    <r>
      <rPr>
        <sz val="9"/>
        <rFont val="微软雅黑"/>
        <charset val="134"/>
      </rPr>
      <t>/</t>
    </r>
    <r>
      <rPr>
        <sz val="9"/>
        <rFont val="Noto Sans CJK SC"/>
        <charset val="134"/>
      </rPr>
      <t>参与人数</t>
    </r>
    <r>
      <rPr>
        <sz val="9"/>
        <rFont val="微软雅黑"/>
        <charset val="134"/>
      </rPr>
      <t>/</t>
    </r>
    <r>
      <rPr>
        <sz val="9"/>
        <rFont val="Noto Sans CJK SC"/>
        <charset val="134"/>
      </rPr>
      <t>订单数</t>
    </r>
    <r>
      <rPr>
        <sz val="9"/>
        <rFont val="微软雅黑"/>
        <charset val="134"/>
      </rPr>
      <t>/</t>
    </r>
    <r>
      <rPr>
        <sz val="9"/>
        <rFont val="Noto Sans CJK SC"/>
        <charset val="134"/>
      </rPr>
      <t xml:space="preserve">金额
</t>
    </r>
    <r>
      <rPr>
        <sz val="9"/>
        <rFont val="微软雅黑"/>
        <charset val="134"/>
      </rPr>
      <t>2.</t>
    </r>
    <r>
      <rPr>
        <sz val="9"/>
        <rFont val="Noto Sans CJK SC"/>
        <charset val="134"/>
      </rPr>
      <t>筛选：活动类型</t>
    </r>
    <r>
      <rPr>
        <sz val="9"/>
        <rFont val="微软雅黑"/>
        <charset val="134"/>
      </rPr>
      <t>(</t>
    </r>
    <r>
      <rPr>
        <sz val="9"/>
        <rFont val="Noto Sans CJK SC"/>
        <charset val="134"/>
      </rPr>
      <t>多选</t>
    </r>
    <r>
      <rPr>
        <sz val="9"/>
        <rFont val="微软雅黑"/>
        <charset val="134"/>
      </rPr>
      <t>)/</t>
    </r>
    <r>
      <rPr>
        <sz val="9"/>
        <rFont val="Noto Sans CJK SC"/>
        <charset val="134"/>
      </rPr>
      <t>状态</t>
    </r>
    <r>
      <rPr>
        <sz val="9"/>
        <rFont val="微软雅黑"/>
        <charset val="134"/>
      </rPr>
      <t>(</t>
    </r>
    <r>
      <rPr>
        <sz val="9"/>
        <rFont val="Noto Sans CJK SC"/>
        <charset val="134"/>
      </rPr>
      <t>单选</t>
    </r>
    <r>
      <rPr>
        <sz val="9"/>
        <rFont val="微软雅黑"/>
        <charset val="134"/>
      </rPr>
      <t>)/</t>
    </r>
    <r>
      <rPr>
        <sz val="9"/>
        <rFont val="Noto Sans CJK SC"/>
        <charset val="134"/>
      </rPr>
      <t>时间范围</t>
    </r>
    <r>
      <rPr>
        <sz val="9"/>
        <rFont val="微软雅黑"/>
        <charset val="134"/>
      </rPr>
      <t>/</t>
    </r>
    <r>
      <rPr>
        <sz val="9"/>
        <rFont val="Noto Sans CJK SC"/>
        <charset val="134"/>
      </rPr>
      <t>创建人</t>
    </r>
    <r>
      <rPr>
        <sz val="9"/>
        <rFont val="微软雅黑"/>
        <charset val="134"/>
      </rPr>
      <t>/</t>
    </r>
    <r>
      <rPr>
        <sz val="9"/>
        <rFont val="Noto Sans CJK SC"/>
        <charset val="134"/>
      </rPr>
      <t xml:space="preserve">关键词
</t>
    </r>
    <r>
      <rPr>
        <sz val="9"/>
        <rFont val="微软雅黑"/>
        <charset val="134"/>
      </rPr>
      <t>3.</t>
    </r>
    <r>
      <rPr>
        <sz val="9"/>
        <rFont val="Noto Sans CJK SC"/>
        <charset val="134"/>
      </rPr>
      <t>排序：创建时间</t>
    </r>
    <r>
      <rPr>
        <sz val="9"/>
        <rFont val="微软雅黑"/>
        <charset val="134"/>
      </rPr>
      <t>/</t>
    </r>
    <r>
      <rPr>
        <sz val="9"/>
        <rFont val="Noto Sans CJK SC"/>
        <charset val="134"/>
      </rPr>
      <t>参与人数</t>
    </r>
    <r>
      <rPr>
        <sz val="9"/>
        <rFont val="微软雅黑"/>
        <charset val="134"/>
      </rPr>
      <t>/</t>
    </r>
    <r>
      <rPr>
        <sz val="9"/>
        <rFont val="Noto Sans CJK SC"/>
        <charset val="134"/>
      </rPr>
      <t xml:space="preserve">订单金额
</t>
    </r>
    <r>
      <rPr>
        <sz val="9"/>
        <rFont val="微软雅黑"/>
        <charset val="134"/>
      </rPr>
      <t>4.</t>
    </r>
    <r>
      <rPr>
        <sz val="9"/>
        <rFont val="Noto Sans CJK SC"/>
        <charset val="134"/>
      </rPr>
      <t>活动状态机：草稿</t>
    </r>
    <r>
      <rPr>
        <sz val="9"/>
        <rFont val="微软雅黑"/>
        <charset val="134"/>
      </rPr>
      <t>(0)→</t>
    </r>
    <r>
      <rPr>
        <sz val="9"/>
        <rFont val="Noto Sans CJK SC"/>
        <charset val="134"/>
      </rPr>
      <t>待审核</t>
    </r>
    <r>
      <rPr>
        <sz val="9"/>
        <rFont val="微软雅黑"/>
        <charset val="134"/>
      </rPr>
      <t>(1)→</t>
    </r>
    <r>
      <rPr>
        <sz val="9"/>
        <rFont val="Noto Sans CJK SC"/>
        <charset val="134"/>
      </rPr>
      <t>已通过</t>
    </r>
    <r>
      <rPr>
        <sz val="9"/>
        <rFont val="微软雅黑"/>
        <charset val="134"/>
      </rPr>
      <t>(2)→</t>
    </r>
    <r>
      <rPr>
        <sz val="9"/>
        <rFont val="Noto Sans CJK SC"/>
        <charset val="134"/>
      </rPr>
      <t>进行中</t>
    </r>
    <r>
      <rPr>
        <sz val="9"/>
        <rFont val="微软雅黑"/>
        <charset val="134"/>
      </rPr>
      <t>(3)→</t>
    </r>
    <r>
      <rPr>
        <sz val="9"/>
        <rFont val="Noto Sans CJK SC"/>
        <charset val="134"/>
      </rPr>
      <t>已结束</t>
    </r>
    <r>
      <rPr>
        <sz val="9"/>
        <rFont val="微软雅黑"/>
        <charset val="134"/>
      </rPr>
      <t>(4)/</t>
    </r>
    <r>
      <rPr>
        <sz val="9"/>
        <rFont val="Noto Sans CJK SC"/>
        <charset val="134"/>
      </rPr>
      <t>已下架</t>
    </r>
    <r>
      <rPr>
        <sz val="9"/>
        <rFont val="微软雅黑"/>
        <charset val="134"/>
      </rPr>
      <t>(5)
5.</t>
    </r>
    <r>
      <rPr>
        <sz val="9"/>
        <rFont val="Noto Sans CJK SC"/>
        <charset val="134"/>
      </rPr>
      <t>定时任务（每分钟）：</t>
    </r>
    <r>
      <rPr>
        <sz val="9"/>
        <rFont val="微软雅黑"/>
        <charset val="134"/>
      </rPr>
      <t>status=2</t>
    </r>
    <r>
      <rPr>
        <sz val="9"/>
        <rFont val="Noto Sans CJK SC"/>
        <charset val="134"/>
      </rPr>
      <t>且到达</t>
    </r>
    <r>
      <rPr>
        <sz val="9"/>
        <rFont val="微软雅黑"/>
        <charset val="134"/>
      </rPr>
      <t>start_time→</t>
    </r>
    <r>
      <rPr>
        <sz val="9"/>
        <rFont val="Noto Sans CJK SC"/>
        <charset val="134"/>
      </rPr>
      <t>自动变</t>
    </r>
    <r>
      <rPr>
        <sz val="9"/>
        <rFont val="微软雅黑"/>
        <charset val="134"/>
      </rPr>
      <t>3</t>
    </r>
    <r>
      <rPr>
        <sz val="9"/>
        <rFont val="Noto Sans CJK SC"/>
        <charset val="134"/>
      </rPr>
      <t>；</t>
    </r>
    <r>
      <rPr>
        <sz val="9"/>
        <rFont val="微软雅黑"/>
        <charset val="134"/>
      </rPr>
      <t>status=3</t>
    </r>
    <r>
      <rPr>
        <sz val="9"/>
        <rFont val="Noto Sans CJK SC"/>
        <charset val="134"/>
      </rPr>
      <t>且到达</t>
    </r>
    <r>
      <rPr>
        <sz val="9"/>
        <rFont val="微软雅黑"/>
        <charset val="134"/>
      </rPr>
      <t>end_time→</t>
    </r>
    <r>
      <rPr>
        <sz val="9"/>
        <rFont val="Noto Sans CJK SC"/>
        <charset val="134"/>
      </rPr>
      <t>自动变</t>
    </r>
    <r>
      <rPr>
        <sz val="9"/>
        <rFont val="微软雅黑"/>
        <charset val="134"/>
      </rPr>
      <t>4
6.</t>
    </r>
    <r>
      <rPr>
        <sz val="9"/>
        <rFont val="Noto Sans CJK SC"/>
        <charset val="134"/>
      </rPr>
      <t>手动下架：弹窗填写下架原因（必填），</t>
    </r>
    <r>
      <rPr>
        <sz val="9"/>
        <rFont val="微软雅黑"/>
        <charset val="134"/>
      </rPr>
      <t>status→5</t>
    </r>
    <r>
      <rPr>
        <sz val="9"/>
        <rFont val="Noto Sans CJK SC"/>
        <charset val="134"/>
      </rPr>
      <t>，</t>
    </r>
    <r>
      <rPr>
        <sz val="9"/>
        <rFont val="微软雅黑"/>
        <charset val="134"/>
      </rPr>
      <t>MQ</t>
    </r>
    <r>
      <rPr>
        <sz val="9"/>
        <rFont val="Noto Sans CJK SC"/>
        <charset val="134"/>
      </rPr>
      <t xml:space="preserve">异步通知已参与用户
</t>
    </r>
    <r>
      <rPr>
        <sz val="9"/>
        <rFont val="微软雅黑"/>
        <charset val="134"/>
      </rPr>
      <t>7.</t>
    </r>
    <r>
      <rPr>
        <sz val="9"/>
        <rFont val="Noto Sans CJK SC"/>
        <charset val="134"/>
      </rPr>
      <t>编辑权限按状态限制（草稿可全改，进行中仅改描述</t>
    </r>
    <r>
      <rPr>
        <sz val="9"/>
        <rFont val="微软雅黑"/>
        <charset val="134"/>
      </rPr>
      <t>/</t>
    </r>
    <r>
      <rPr>
        <sz val="9"/>
        <rFont val="Noto Sans CJK SC"/>
        <charset val="134"/>
      </rPr>
      <t xml:space="preserve">排序，已结束不可改）
</t>
    </r>
    <r>
      <rPr>
        <sz val="9"/>
        <rFont val="微软雅黑"/>
        <charset val="134"/>
      </rPr>
      <t>8.</t>
    </r>
    <r>
      <rPr>
        <sz val="9"/>
        <rFont val="Noto Sans CJK SC"/>
        <charset val="134"/>
      </rPr>
      <t xml:space="preserve">删除限制：仅草稿和已下架可删除，有参与记录执行逻辑删除
</t>
    </r>
    <r>
      <rPr>
        <sz val="9"/>
        <rFont val="微软雅黑"/>
        <charset val="134"/>
      </rPr>
      <t>9.</t>
    </r>
    <r>
      <rPr>
        <sz val="9"/>
        <rFont val="Noto Sans CJK SC"/>
        <charset val="134"/>
      </rPr>
      <t>活动延期：进行中可申请延期，须重新走审核</t>
    </r>
  </si>
  <si>
    <t>状态机定时任务；MQ批量通知参与用户</t>
  </si>
  <si>
    <t>活动数据统计</t>
  </si>
  <si>
    <r>
      <rPr>
        <sz val="9"/>
        <rFont val="微软雅黑"/>
        <charset val="134"/>
      </rPr>
      <t>1.</t>
    </r>
    <r>
      <rPr>
        <sz val="9"/>
        <rFont val="Noto Sans CJK SC"/>
        <charset val="134"/>
      </rPr>
      <t>核心指标卡：浏览</t>
    </r>
    <r>
      <rPr>
        <sz val="9"/>
        <rFont val="微软雅黑"/>
        <charset val="134"/>
      </rPr>
      <t>UV/PV/</t>
    </r>
    <r>
      <rPr>
        <sz val="9"/>
        <rFont val="Noto Sans CJK SC"/>
        <charset val="134"/>
      </rPr>
      <t>参与人数</t>
    </r>
    <r>
      <rPr>
        <sz val="9"/>
        <rFont val="微软雅黑"/>
        <charset val="134"/>
      </rPr>
      <t>/</t>
    </r>
    <r>
      <rPr>
        <sz val="9"/>
        <rFont val="Noto Sans CJK SC"/>
        <charset val="134"/>
      </rPr>
      <t>订单数</t>
    </r>
    <r>
      <rPr>
        <sz val="9"/>
        <rFont val="微软雅黑"/>
        <charset val="134"/>
      </rPr>
      <t>/</t>
    </r>
    <r>
      <rPr>
        <sz val="9"/>
        <rFont val="Noto Sans CJK SC"/>
        <charset val="134"/>
      </rPr>
      <t>订单金额</t>
    </r>
    <r>
      <rPr>
        <sz val="9"/>
        <rFont val="微软雅黑"/>
        <charset val="134"/>
      </rPr>
      <t>/</t>
    </r>
    <r>
      <rPr>
        <sz val="9"/>
        <rFont val="Noto Sans CJK SC"/>
        <charset val="134"/>
      </rPr>
      <t>转化率</t>
    </r>
    <r>
      <rPr>
        <sz val="9"/>
        <rFont val="微软雅黑"/>
        <charset val="134"/>
      </rPr>
      <t>/</t>
    </r>
    <r>
      <rPr>
        <sz val="9"/>
        <rFont val="Noto Sans CJK SC"/>
        <charset val="134"/>
      </rPr>
      <t>客单价</t>
    </r>
    <r>
      <rPr>
        <sz val="9"/>
        <rFont val="微软雅黑"/>
        <charset val="134"/>
      </rPr>
      <t>/ROI
2.</t>
    </r>
    <r>
      <rPr>
        <sz val="9"/>
        <rFont val="Noto Sans CJK SC"/>
        <charset val="134"/>
      </rPr>
      <t>趋势图（</t>
    </r>
    <r>
      <rPr>
        <sz val="9"/>
        <rFont val="微软雅黑"/>
        <charset val="134"/>
      </rPr>
      <t>ECharts</t>
    </r>
    <r>
      <rPr>
        <sz val="9"/>
        <rFont val="Noto Sans CJK SC"/>
        <charset val="134"/>
      </rPr>
      <t>折线）：</t>
    </r>
    <r>
      <rPr>
        <sz val="9"/>
        <rFont val="微软雅黑"/>
        <charset val="134"/>
      </rPr>
      <t>X</t>
    </r>
    <r>
      <rPr>
        <sz val="9"/>
        <rFont val="Noto Sans CJK SC"/>
        <charset val="134"/>
      </rPr>
      <t>轴</t>
    </r>
    <r>
      <rPr>
        <sz val="9"/>
        <rFont val="微软雅黑"/>
        <charset val="134"/>
      </rPr>
      <t>=</t>
    </r>
    <r>
      <rPr>
        <sz val="9"/>
        <rFont val="Noto Sans CJK SC"/>
        <charset val="134"/>
      </rPr>
      <t>时间（秒杀按小时</t>
    </r>
    <r>
      <rPr>
        <sz val="9"/>
        <rFont val="微软雅黑"/>
        <charset val="134"/>
      </rPr>
      <t>/</t>
    </r>
    <r>
      <rPr>
        <sz val="9"/>
        <rFont val="Noto Sans CJK SC"/>
        <charset val="134"/>
      </rPr>
      <t>其他按天），多折线</t>
    </r>
    <r>
      <rPr>
        <sz val="9"/>
        <rFont val="微软雅黑"/>
        <charset val="134"/>
      </rPr>
      <t>=</t>
    </r>
    <r>
      <rPr>
        <sz val="9"/>
        <rFont val="Noto Sans CJK SC"/>
        <charset val="134"/>
      </rPr>
      <t>浏览量</t>
    </r>
    <r>
      <rPr>
        <sz val="9"/>
        <rFont val="微软雅黑"/>
        <charset val="134"/>
      </rPr>
      <t>/</t>
    </r>
    <r>
      <rPr>
        <sz val="9"/>
        <rFont val="Noto Sans CJK SC"/>
        <charset val="134"/>
      </rPr>
      <t>参与</t>
    </r>
    <r>
      <rPr>
        <sz val="9"/>
        <rFont val="微软雅黑"/>
        <charset val="134"/>
      </rPr>
      <t>/</t>
    </r>
    <r>
      <rPr>
        <sz val="9"/>
        <rFont val="Noto Sans CJK SC"/>
        <charset val="134"/>
      </rPr>
      <t>订单数</t>
    </r>
    <r>
      <rPr>
        <sz val="9"/>
        <rFont val="微软雅黑"/>
        <charset val="134"/>
      </rPr>
      <t>/</t>
    </r>
    <r>
      <rPr>
        <sz val="9"/>
        <rFont val="Noto Sans CJK SC"/>
        <charset val="134"/>
      </rPr>
      <t xml:space="preserve">金额
</t>
    </r>
    <r>
      <rPr>
        <sz val="9"/>
        <rFont val="微软雅黑"/>
        <charset val="134"/>
      </rPr>
      <t>3.</t>
    </r>
    <r>
      <rPr>
        <sz val="9"/>
        <rFont val="Noto Sans CJK SC"/>
        <charset val="134"/>
      </rPr>
      <t>用户分析：新老用户占比（饼图）</t>
    </r>
    <r>
      <rPr>
        <sz val="9"/>
        <rFont val="微软雅黑"/>
        <charset val="134"/>
      </rPr>
      <t>/</t>
    </r>
    <r>
      <rPr>
        <sz val="9"/>
        <rFont val="Noto Sans CJK SC"/>
        <charset val="134"/>
      </rPr>
      <t>地域分布</t>
    </r>
    <r>
      <rPr>
        <sz val="9"/>
        <rFont val="微软雅黑"/>
        <charset val="134"/>
      </rPr>
      <t>Top10</t>
    </r>
    <r>
      <rPr>
        <sz val="9"/>
        <rFont val="Noto Sans CJK SC"/>
        <charset val="134"/>
      </rPr>
      <t>（柱图）</t>
    </r>
    <r>
      <rPr>
        <sz val="9"/>
        <rFont val="微软雅黑"/>
        <charset val="134"/>
      </rPr>
      <t>/</t>
    </r>
    <r>
      <rPr>
        <sz val="9"/>
        <rFont val="Noto Sans CJK SC"/>
        <charset val="134"/>
      </rPr>
      <t xml:space="preserve">来源渠道（饼图）
</t>
    </r>
    <r>
      <rPr>
        <sz val="9"/>
        <rFont val="微软雅黑"/>
        <charset val="134"/>
      </rPr>
      <t>4.</t>
    </r>
    <r>
      <rPr>
        <sz val="9"/>
        <rFont val="Noto Sans CJK SC"/>
        <charset val="134"/>
      </rPr>
      <t>产品分析：活动相关产品销量</t>
    </r>
    <r>
      <rPr>
        <sz val="9"/>
        <rFont val="微软雅黑"/>
        <charset val="134"/>
      </rPr>
      <t>/</t>
    </r>
    <r>
      <rPr>
        <sz val="9"/>
        <rFont val="Noto Sans CJK SC"/>
        <charset val="134"/>
      </rPr>
      <t xml:space="preserve">贡献金额排行列表
</t>
    </r>
    <r>
      <rPr>
        <sz val="9"/>
        <rFont val="微软雅黑"/>
        <charset val="134"/>
      </rPr>
      <t>5.</t>
    </r>
    <r>
      <rPr>
        <sz val="9"/>
        <rFont val="Noto Sans CJK SC"/>
        <charset val="134"/>
      </rPr>
      <t>数据导出</t>
    </r>
    <r>
      <rPr>
        <sz val="9"/>
        <rFont val="微软雅黑"/>
        <charset val="134"/>
      </rPr>
      <t>Excel</t>
    </r>
    <r>
      <rPr>
        <sz val="9"/>
        <rFont val="Noto Sans CJK SC"/>
        <charset val="134"/>
      </rPr>
      <t>（含按天明细</t>
    </r>
    <r>
      <rPr>
        <sz val="9"/>
        <rFont val="微软雅黑"/>
        <charset val="134"/>
      </rPr>
      <t>+</t>
    </r>
    <r>
      <rPr>
        <sz val="9"/>
        <rFont val="Noto Sans CJK SC"/>
        <charset val="134"/>
      </rPr>
      <t>汇总），支持自定义时间范围</t>
    </r>
  </si>
  <si>
    <r>
      <rPr>
        <sz val="9"/>
        <rFont val="微软雅黑"/>
        <charset val="134"/>
      </rPr>
      <t>ECharts</t>
    </r>
    <r>
      <rPr>
        <sz val="9"/>
        <rFont val="Noto Sans CJK SC"/>
        <charset val="134"/>
      </rPr>
      <t>多类型图表；多维度聚合查询；</t>
    </r>
    <r>
      <rPr>
        <sz val="9"/>
        <rFont val="微软雅黑"/>
        <charset val="134"/>
      </rPr>
      <t>Excel</t>
    </r>
    <r>
      <rPr>
        <sz val="9"/>
        <rFont val="Noto Sans CJK SC"/>
        <charset val="134"/>
      </rPr>
      <t>异步导出</t>
    </r>
  </si>
  <si>
    <t>优惠券创建</t>
  </si>
  <si>
    <r>
      <rPr>
        <sz val="9"/>
        <rFont val="微软雅黑"/>
        <charset val="134"/>
      </rPr>
      <t>1.</t>
    </r>
    <r>
      <rPr>
        <sz val="9"/>
        <rFont val="Noto Sans CJK SC"/>
        <charset val="134"/>
      </rPr>
      <t>基础信息：名称</t>
    </r>
    <r>
      <rPr>
        <sz val="9"/>
        <rFont val="微软雅黑"/>
        <charset val="134"/>
      </rPr>
      <t>/</t>
    </r>
    <r>
      <rPr>
        <sz val="9"/>
        <rFont val="Noto Sans CJK SC"/>
        <charset val="134"/>
      </rPr>
      <t>类型（满减</t>
    </r>
    <r>
      <rPr>
        <sz val="9"/>
        <rFont val="微软雅黑"/>
        <charset val="134"/>
      </rPr>
      <t>/</t>
    </r>
    <r>
      <rPr>
        <sz val="9"/>
        <rFont val="Noto Sans CJK SC"/>
        <charset val="134"/>
      </rPr>
      <t>折扣</t>
    </r>
    <r>
      <rPr>
        <sz val="9"/>
        <rFont val="微软雅黑"/>
        <charset val="134"/>
      </rPr>
      <t>/</t>
    </r>
    <r>
      <rPr>
        <sz val="9"/>
        <rFont val="Noto Sans CJK SC"/>
        <charset val="134"/>
      </rPr>
      <t>兑换</t>
    </r>
    <r>
      <rPr>
        <sz val="9"/>
        <rFont val="微软雅黑"/>
        <charset val="134"/>
      </rPr>
      <t>/</t>
    </r>
    <r>
      <rPr>
        <sz val="9"/>
        <rFont val="Noto Sans CJK SC"/>
        <charset val="134"/>
      </rPr>
      <t>立减）</t>
    </r>
    <r>
      <rPr>
        <sz val="9"/>
        <rFont val="微软雅黑"/>
        <charset val="134"/>
      </rPr>
      <t>/</t>
    </r>
    <r>
      <rPr>
        <sz val="9"/>
        <rFont val="Noto Sans CJK SC"/>
        <charset val="134"/>
      </rPr>
      <t xml:space="preserve">使用说明
</t>
    </r>
    <r>
      <rPr>
        <sz val="9"/>
        <rFont val="微软雅黑"/>
        <charset val="134"/>
      </rPr>
      <t>2.</t>
    </r>
    <r>
      <rPr>
        <sz val="9"/>
        <rFont val="Noto Sans CJK SC"/>
        <charset val="134"/>
      </rPr>
      <t>优惠规则（按类型）：满减（门槛</t>
    </r>
    <r>
      <rPr>
        <sz val="9"/>
        <rFont val="微软雅黑"/>
        <charset val="134"/>
      </rPr>
      <t>+</t>
    </r>
    <r>
      <rPr>
        <sz val="9"/>
        <rFont val="Noto Sans CJK SC"/>
        <charset val="134"/>
      </rPr>
      <t>优惠金额，校验优惠</t>
    </r>
    <r>
      <rPr>
        <sz val="9"/>
        <rFont val="微软雅黑"/>
        <charset val="134"/>
      </rPr>
      <t>&lt;</t>
    </r>
    <r>
      <rPr>
        <sz val="9"/>
        <rFont val="Noto Sans CJK SC"/>
        <charset val="134"/>
      </rPr>
      <t>门槛）；折扣（折扣率</t>
    </r>
    <r>
      <rPr>
        <sz val="9"/>
        <rFont val="微软雅黑"/>
        <charset val="134"/>
      </rPr>
      <t>1-99+</t>
    </r>
    <r>
      <rPr>
        <sz val="9"/>
        <rFont val="Noto Sans CJK SC"/>
        <charset val="134"/>
      </rPr>
      <t xml:space="preserve">最高优惠）；立减（直减金额）；兑换（选择可兑换商品）
</t>
    </r>
    <r>
      <rPr>
        <sz val="9"/>
        <rFont val="微软雅黑"/>
        <charset val="134"/>
      </rPr>
      <t>3.</t>
    </r>
    <r>
      <rPr>
        <sz val="9"/>
        <rFont val="Noto Sans CJK SC"/>
        <charset val="134"/>
      </rPr>
      <t>发行设置：总量（</t>
    </r>
    <r>
      <rPr>
        <sz val="9"/>
        <rFont val="微软雅黑"/>
        <charset val="134"/>
      </rPr>
      <t>-1</t>
    </r>
    <r>
      <rPr>
        <sz val="9"/>
        <rFont val="Noto Sans CJK SC"/>
        <charset val="134"/>
      </rPr>
      <t>不限）</t>
    </r>
    <r>
      <rPr>
        <sz val="9"/>
        <rFont val="微软雅黑"/>
        <charset val="134"/>
      </rPr>
      <t>/</t>
    </r>
    <r>
      <rPr>
        <sz val="9"/>
        <rFont val="Noto Sans CJK SC"/>
        <charset val="134"/>
      </rPr>
      <t>领取方式（手动</t>
    </r>
    <r>
      <rPr>
        <sz val="9"/>
        <rFont val="微软雅黑"/>
        <charset val="134"/>
      </rPr>
      <t>/</t>
    </r>
    <r>
      <rPr>
        <sz val="9"/>
        <rFont val="Noto Sans CJK SC"/>
        <charset val="134"/>
      </rPr>
      <t>自动</t>
    </r>
    <r>
      <rPr>
        <sz val="9"/>
        <rFont val="微软雅黑"/>
        <charset val="134"/>
      </rPr>
      <t>/</t>
    </r>
    <r>
      <rPr>
        <sz val="9"/>
        <rFont val="Noto Sans CJK SC"/>
        <charset val="134"/>
      </rPr>
      <t>活动</t>
    </r>
    <r>
      <rPr>
        <sz val="9"/>
        <rFont val="微软雅黑"/>
        <charset val="134"/>
      </rPr>
      <t>/</t>
    </r>
    <r>
      <rPr>
        <sz val="9"/>
        <rFont val="Noto Sans CJK SC"/>
        <charset val="134"/>
      </rPr>
      <t>兑换码）</t>
    </r>
    <r>
      <rPr>
        <sz val="9"/>
        <rFont val="微软雅黑"/>
        <charset val="134"/>
      </rPr>
      <t>/</t>
    </r>
    <r>
      <rPr>
        <sz val="9"/>
        <rFont val="Noto Sans CJK SC"/>
        <charset val="134"/>
      </rPr>
      <t>每人限领</t>
    </r>
    <r>
      <rPr>
        <sz val="9"/>
        <rFont val="微软雅黑"/>
        <charset val="134"/>
      </rPr>
      <t>/</t>
    </r>
    <r>
      <rPr>
        <sz val="9"/>
        <rFont val="Noto Sans CJK SC"/>
        <charset val="134"/>
      </rPr>
      <t>每人限用</t>
    </r>
    <r>
      <rPr>
        <sz val="9"/>
        <rFont val="微软雅黑"/>
        <charset val="134"/>
      </rPr>
      <t>/</t>
    </r>
    <r>
      <rPr>
        <sz val="9"/>
        <rFont val="Noto Sans CJK SC"/>
        <charset val="134"/>
      </rPr>
      <t xml:space="preserve">是否可叠加
</t>
    </r>
    <r>
      <rPr>
        <sz val="9"/>
        <rFont val="微软雅黑"/>
        <charset val="134"/>
      </rPr>
      <t>4.</t>
    </r>
    <r>
      <rPr>
        <sz val="9"/>
        <rFont val="Noto Sans CJK SC"/>
        <charset val="134"/>
      </rPr>
      <t>选</t>
    </r>
    <r>
      <rPr>
        <sz val="9"/>
        <rFont val="微软雅黑"/>
        <charset val="134"/>
      </rPr>
      <t>"</t>
    </r>
    <r>
      <rPr>
        <sz val="9"/>
        <rFont val="Noto Sans CJK SC"/>
        <charset val="134"/>
      </rPr>
      <t>兑换码</t>
    </r>
    <r>
      <rPr>
        <sz val="9"/>
        <rFont val="微软雅黑"/>
        <charset val="134"/>
      </rPr>
      <t>"</t>
    </r>
    <r>
      <rPr>
        <sz val="9"/>
        <rFont val="Noto Sans CJK SC"/>
        <charset val="134"/>
      </rPr>
      <t>时：系统异步批量生成</t>
    </r>
    <r>
      <rPr>
        <sz val="9"/>
        <rFont val="微软雅黑"/>
        <charset val="134"/>
      </rPr>
      <t>8-16</t>
    </r>
    <r>
      <rPr>
        <sz val="9"/>
        <rFont val="Noto Sans CJK SC"/>
        <charset val="134"/>
      </rPr>
      <t>位大写兑换码（</t>
    </r>
    <r>
      <rPr>
        <sz val="9"/>
        <rFont val="微软雅黑"/>
        <charset val="134"/>
      </rPr>
      <t>MQ</t>
    </r>
    <r>
      <rPr>
        <sz val="9"/>
        <rFont val="Noto Sans CJK SC"/>
        <charset val="134"/>
      </rPr>
      <t>处理），完成后可下载</t>
    </r>
    <r>
      <rPr>
        <sz val="9"/>
        <rFont val="微软雅黑"/>
        <charset val="134"/>
      </rPr>
      <t>Excel
5.</t>
    </r>
    <r>
      <rPr>
        <sz val="9"/>
        <rFont val="Noto Sans CJK SC"/>
        <charset val="134"/>
      </rPr>
      <t>适用范围：产品范围（全部</t>
    </r>
    <r>
      <rPr>
        <sz val="9"/>
        <rFont val="微软雅黑"/>
        <charset val="134"/>
      </rPr>
      <t>/</t>
    </r>
    <r>
      <rPr>
        <sz val="9"/>
        <rFont val="Noto Sans CJK SC"/>
        <charset val="134"/>
      </rPr>
      <t>分类</t>
    </r>
    <r>
      <rPr>
        <sz val="9"/>
        <rFont val="微软雅黑"/>
        <charset val="134"/>
      </rPr>
      <t>/</t>
    </r>
    <r>
      <rPr>
        <sz val="9"/>
        <rFont val="Noto Sans CJK SC"/>
        <charset val="134"/>
      </rPr>
      <t>指定产品）</t>
    </r>
    <r>
      <rPr>
        <sz val="9"/>
        <rFont val="微软雅黑"/>
        <charset val="134"/>
      </rPr>
      <t>+</t>
    </r>
    <r>
      <rPr>
        <sz val="9"/>
        <rFont val="Noto Sans CJK SC"/>
        <charset val="134"/>
      </rPr>
      <t>用户范围（全部</t>
    </r>
    <r>
      <rPr>
        <sz val="9"/>
        <rFont val="微软雅黑"/>
        <charset val="134"/>
      </rPr>
      <t>/</t>
    </r>
    <r>
      <rPr>
        <sz val="9"/>
        <rFont val="Noto Sans CJK SC"/>
        <charset val="134"/>
      </rPr>
      <t>新用户</t>
    </r>
    <r>
      <rPr>
        <sz val="9"/>
        <rFont val="微软雅黑"/>
        <charset val="134"/>
      </rPr>
      <t>/</t>
    </r>
    <r>
      <rPr>
        <sz val="9"/>
        <rFont val="Noto Sans CJK SC"/>
        <charset val="134"/>
      </rPr>
      <t>指定用户</t>
    </r>
    <r>
      <rPr>
        <sz val="9"/>
        <rFont val="微软雅黑"/>
        <charset val="134"/>
      </rPr>
      <t>/</t>
    </r>
    <r>
      <rPr>
        <sz val="9"/>
        <rFont val="Noto Sans CJK SC"/>
        <charset val="134"/>
      </rPr>
      <t>标签用户），配置存</t>
    </r>
    <r>
      <rPr>
        <sz val="9"/>
        <rFont val="微软雅黑"/>
        <charset val="134"/>
      </rPr>
      <t>JSON
6.</t>
    </r>
    <r>
      <rPr>
        <sz val="9"/>
        <rFont val="Noto Sans CJK SC"/>
        <charset val="134"/>
      </rPr>
      <t>有效期：固定日期（</t>
    </r>
    <r>
      <rPr>
        <sz val="9"/>
        <rFont val="微软雅黑"/>
        <charset val="134"/>
      </rPr>
      <t>start_time/end_time</t>
    </r>
    <r>
      <rPr>
        <sz val="9"/>
        <rFont val="Noto Sans CJK SC"/>
        <charset val="134"/>
      </rPr>
      <t>）或相对天数（领取后</t>
    </r>
    <r>
      <rPr>
        <sz val="9"/>
        <rFont val="微软雅黑"/>
        <charset val="134"/>
      </rPr>
      <t>N</t>
    </r>
    <r>
      <rPr>
        <sz val="9"/>
        <rFont val="Noto Sans CJK SC"/>
        <charset val="134"/>
      </rPr>
      <t>天</t>
    </r>
    <r>
      <rPr>
        <sz val="9"/>
        <rFont val="微软雅黑"/>
        <charset val="134"/>
      </rPr>
      <t>valid_days</t>
    </r>
    <r>
      <rPr>
        <sz val="9"/>
        <rFont val="Noto Sans CJK SC"/>
        <charset val="134"/>
      </rPr>
      <t xml:space="preserve">）
</t>
    </r>
    <r>
      <rPr>
        <sz val="9"/>
        <rFont val="微软雅黑"/>
        <charset val="134"/>
      </rPr>
      <t>7.</t>
    </r>
    <r>
      <rPr>
        <sz val="9"/>
        <rFont val="Noto Sans CJK SC"/>
        <charset val="134"/>
      </rPr>
      <t>优惠券编号自动生成：</t>
    </r>
    <r>
      <rPr>
        <sz val="9"/>
        <rFont val="微软雅黑"/>
        <charset val="134"/>
      </rPr>
      <t>CPN+</t>
    </r>
    <r>
      <rPr>
        <sz val="9"/>
        <rFont val="Noto Sans CJK SC"/>
        <charset val="134"/>
      </rPr>
      <t>时间戳</t>
    </r>
    <r>
      <rPr>
        <sz val="9"/>
        <rFont val="微软雅黑"/>
        <charset val="134"/>
      </rPr>
      <t>+4</t>
    </r>
    <r>
      <rPr>
        <sz val="9"/>
        <rFont val="Noto Sans CJK SC"/>
        <charset val="134"/>
      </rPr>
      <t xml:space="preserve">位随机数
</t>
    </r>
    <r>
      <rPr>
        <sz val="9"/>
        <rFont val="微软雅黑"/>
        <charset val="134"/>
      </rPr>
      <t>8.</t>
    </r>
    <r>
      <rPr>
        <sz val="9"/>
        <rFont val="Noto Sans CJK SC"/>
        <charset val="134"/>
      </rPr>
      <t>后端校验：满减券优惠</t>
    </r>
    <r>
      <rPr>
        <sz val="9"/>
        <rFont val="微软雅黑"/>
        <charset val="134"/>
      </rPr>
      <t>&lt;</t>
    </r>
    <r>
      <rPr>
        <sz val="9"/>
        <rFont val="Noto Sans CJK SC"/>
        <charset val="134"/>
      </rPr>
      <t>门槛；折扣率</t>
    </r>
    <r>
      <rPr>
        <sz val="9"/>
        <rFont val="微软雅黑"/>
        <charset val="134"/>
      </rPr>
      <t>1-99</t>
    </r>
    <r>
      <rPr>
        <sz val="9"/>
        <rFont val="Noto Sans CJK SC"/>
        <charset val="134"/>
      </rPr>
      <t>；固定日期</t>
    </r>
    <r>
      <rPr>
        <sz val="9"/>
        <rFont val="微软雅黑"/>
        <charset val="134"/>
      </rPr>
      <t>start&lt;end</t>
    </r>
    <r>
      <rPr>
        <sz val="9"/>
        <rFont val="Noto Sans CJK SC"/>
        <charset val="134"/>
      </rPr>
      <t>；限用</t>
    </r>
    <r>
      <rPr>
        <sz val="9"/>
        <rFont val="微软雅黑"/>
        <charset val="134"/>
      </rPr>
      <t>&lt;=</t>
    </r>
    <r>
      <rPr>
        <sz val="9"/>
        <rFont val="Noto Sans CJK SC"/>
        <charset val="134"/>
      </rPr>
      <t>限领；兑换码方式不允许总量</t>
    </r>
    <r>
      <rPr>
        <sz val="9"/>
        <rFont val="微软雅黑"/>
        <charset val="134"/>
      </rPr>
      <t>-1</t>
    </r>
  </si>
  <si>
    <t>兑换码批量生成（MQ异步）；Redis分布式锁防并发超发；乐观锁更新库存</t>
  </si>
  <si>
    <t>优惠券发放</t>
  </si>
  <si>
    <r>
      <rPr>
        <sz val="9"/>
        <rFont val="微软雅黑"/>
        <charset val="134"/>
      </rPr>
      <t>1.</t>
    </r>
    <r>
      <rPr>
        <sz val="9"/>
        <rFont val="Noto Sans CJK SC"/>
        <charset val="134"/>
      </rPr>
      <t>手动领取（</t>
    </r>
    <r>
      <rPr>
        <sz val="9"/>
        <rFont val="微软雅黑"/>
        <charset val="134"/>
      </rPr>
      <t>C</t>
    </r>
    <r>
      <rPr>
        <sz val="9"/>
        <rFont val="Noto Sans CJK SC"/>
        <charset val="134"/>
      </rPr>
      <t>端触发）：校验串行验证（状态</t>
    </r>
    <r>
      <rPr>
        <sz val="9"/>
        <rFont val="微软雅黑"/>
        <charset val="134"/>
      </rPr>
      <t>/</t>
    </r>
    <r>
      <rPr>
        <sz val="9"/>
        <rFont val="Noto Sans CJK SC"/>
        <charset val="134"/>
      </rPr>
      <t>时间</t>
    </r>
    <r>
      <rPr>
        <sz val="9"/>
        <rFont val="微软雅黑"/>
        <charset val="134"/>
      </rPr>
      <t>/</t>
    </r>
    <r>
      <rPr>
        <sz val="9"/>
        <rFont val="Noto Sans CJK SC"/>
        <charset val="134"/>
      </rPr>
      <t>总量</t>
    </r>
    <r>
      <rPr>
        <sz val="9"/>
        <rFont val="微软雅黑"/>
        <charset val="134"/>
      </rPr>
      <t>/</t>
    </r>
    <r>
      <rPr>
        <sz val="9"/>
        <rFont val="Noto Sans CJK SC"/>
        <charset val="134"/>
      </rPr>
      <t>个人限领</t>
    </r>
    <r>
      <rPr>
        <sz val="9"/>
        <rFont val="微软雅黑"/>
        <charset val="134"/>
      </rPr>
      <t>/</t>
    </r>
    <r>
      <rPr>
        <sz val="9"/>
        <rFont val="Noto Sans CJK SC"/>
        <charset val="134"/>
      </rPr>
      <t>用户范围）→</t>
    </r>
    <r>
      <rPr>
        <sz val="9"/>
        <rFont val="微软雅黑"/>
        <charset val="134"/>
      </rPr>
      <t>Redis</t>
    </r>
    <r>
      <rPr>
        <sz val="9"/>
        <rFont val="Noto Sans CJK SC"/>
        <charset val="134"/>
      </rPr>
      <t>分布式锁→创建</t>
    </r>
    <r>
      <rPr>
        <sz val="9"/>
        <rFont val="微软雅黑"/>
        <charset val="134"/>
      </rPr>
      <t>mkt_coupon_user</t>
    </r>
    <r>
      <rPr>
        <sz val="9"/>
        <rFont val="Noto Sans CJK SC"/>
        <charset val="134"/>
      </rPr>
      <t>记录→</t>
    </r>
    <r>
      <rPr>
        <sz val="9"/>
        <rFont val="微软雅黑"/>
        <charset val="134"/>
      </rPr>
      <t>receive_count+1</t>
    </r>
    <r>
      <rPr>
        <sz val="9"/>
        <rFont val="Noto Sans CJK SC"/>
        <charset val="134"/>
      </rPr>
      <t xml:space="preserve">（乐观锁）→计算有效期→发送通知
</t>
    </r>
    <r>
      <rPr>
        <sz val="9"/>
        <rFont val="微软雅黑"/>
        <charset val="134"/>
      </rPr>
      <t>2.</t>
    </r>
    <r>
      <rPr>
        <sz val="9"/>
        <rFont val="Noto Sans CJK SC"/>
        <charset val="134"/>
      </rPr>
      <t>自动发放（事件触发）：注册</t>
    </r>
    <r>
      <rPr>
        <sz val="9"/>
        <rFont val="微软雅黑"/>
        <charset val="134"/>
      </rPr>
      <t>/</t>
    </r>
    <r>
      <rPr>
        <sz val="9"/>
        <rFont val="Noto Sans CJK SC"/>
        <charset val="134"/>
      </rPr>
      <t>首单</t>
    </r>
    <r>
      <rPr>
        <sz val="9"/>
        <rFont val="微软雅黑"/>
        <charset val="134"/>
      </rPr>
      <t>/</t>
    </r>
    <r>
      <rPr>
        <sz val="9"/>
        <rFont val="Noto Sans CJK SC"/>
        <charset val="134"/>
      </rPr>
      <t>生日等条件自动检测发放，</t>
    </r>
    <r>
      <rPr>
        <sz val="9"/>
        <rFont val="微软雅黑"/>
        <charset val="134"/>
      </rPr>
      <t>MQ</t>
    </r>
    <r>
      <rPr>
        <sz val="9"/>
        <rFont val="Noto Sans CJK SC"/>
        <charset val="134"/>
      </rPr>
      <t xml:space="preserve">异步处理
</t>
    </r>
    <r>
      <rPr>
        <sz val="9"/>
        <rFont val="微软雅黑"/>
        <charset val="134"/>
      </rPr>
      <t>3.</t>
    </r>
    <r>
      <rPr>
        <sz val="9"/>
        <rFont val="Noto Sans CJK SC"/>
        <charset val="134"/>
      </rPr>
      <t xml:space="preserve">活动发放：用户参与活动后触发，与活动记录关联
</t>
    </r>
    <r>
      <rPr>
        <sz val="9"/>
        <rFont val="微软雅黑"/>
        <charset val="134"/>
      </rPr>
      <t>4.</t>
    </r>
    <r>
      <rPr>
        <sz val="9"/>
        <rFont val="Noto Sans CJK SC"/>
        <charset val="134"/>
      </rPr>
      <t>兑换码兑换：用户输入兑换码→校验有效性和是否已用→绑定用户→创建</t>
    </r>
    <r>
      <rPr>
        <sz val="9"/>
        <rFont val="微软雅黑"/>
        <charset val="134"/>
      </rPr>
      <t>user</t>
    </r>
    <r>
      <rPr>
        <sz val="9"/>
        <rFont val="Noto Sans CJK SC"/>
        <charset val="134"/>
      </rPr>
      <t xml:space="preserve">记录→标记兑换码已用
</t>
    </r>
    <r>
      <rPr>
        <sz val="9"/>
        <rFont val="微软雅黑"/>
        <charset val="134"/>
      </rPr>
      <t>5.</t>
    </r>
    <r>
      <rPr>
        <sz val="9"/>
        <rFont val="Noto Sans CJK SC"/>
        <charset val="134"/>
      </rPr>
      <t>后台批量定向发放：选择用户（输入</t>
    </r>
    <r>
      <rPr>
        <sz val="9"/>
        <rFont val="微软雅黑"/>
        <charset val="134"/>
      </rPr>
      <t>ID</t>
    </r>
    <r>
      <rPr>
        <sz val="9"/>
        <rFont val="Noto Sans CJK SC"/>
        <charset val="134"/>
      </rPr>
      <t>或上传</t>
    </r>
    <r>
      <rPr>
        <sz val="9"/>
        <rFont val="微软雅黑"/>
        <charset val="134"/>
      </rPr>
      <t>Excel</t>
    </r>
    <r>
      <rPr>
        <sz val="9"/>
        <rFont val="Noto Sans CJK SC"/>
        <charset val="134"/>
      </rPr>
      <t>）→校验总量充足→</t>
    </r>
    <r>
      <rPr>
        <sz val="9"/>
        <rFont val="微软雅黑"/>
        <charset val="134"/>
      </rPr>
      <t>MQ</t>
    </r>
    <r>
      <rPr>
        <sz val="9"/>
        <rFont val="Noto Sans CJK SC"/>
        <charset val="134"/>
      </rPr>
      <t xml:space="preserve">异步批量发放→任务进度展示
</t>
    </r>
    <r>
      <rPr>
        <sz val="9"/>
        <rFont val="微软雅黑"/>
        <charset val="134"/>
      </rPr>
      <t>6.</t>
    </r>
    <r>
      <rPr>
        <sz val="9"/>
        <rFont val="Noto Sans CJK SC"/>
        <charset val="134"/>
      </rPr>
      <t>使用核销：下单锁定（</t>
    </r>
    <r>
      <rPr>
        <sz val="9"/>
        <rFont val="微软雅黑"/>
        <charset val="134"/>
      </rPr>
      <t>status=4</t>
    </r>
    <r>
      <rPr>
        <sz val="9"/>
        <rFont val="Noto Sans CJK SC"/>
        <charset val="134"/>
      </rPr>
      <t>）→</t>
    </r>
    <r>
      <rPr>
        <sz val="9"/>
        <rFont val="微软雅黑"/>
        <charset val="134"/>
      </rPr>
      <t>15</t>
    </r>
    <r>
      <rPr>
        <sz val="9"/>
        <rFont val="Noto Sans CJK SC"/>
        <charset val="134"/>
      </rPr>
      <t>分钟未支付自动解锁→支付成功核销（</t>
    </r>
    <r>
      <rPr>
        <sz val="9"/>
        <rFont val="微软雅黑"/>
        <charset val="134"/>
      </rPr>
      <t>status=2</t>
    </r>
    <r>
      <rPr>
        <sz val="9"/>
        <rFont val="Noto Sans CJK SC"/>
        <charset val="134"/>
      </rPr>
      <t>）→退款时状态还原并延期</t>
    </r>
    <r>
      <rPr>
        <sz val="9"/>
        <rFont val="微软雅黑"/>
        <charset val="134"/>
      </rPr>
      <t>7</t>
    </r>
    <r>
      <rPr>
        <sz val="9"/>
        <rFont val="Noto Sans CJK SC"/>
        <charset val="134"/>
      </rPr>
      <t xml:space="preserve">天
</t>
    </r>
    <r>
      <rPr>
        <sz val="9"/>
        <rFont val="微软雅黑"/>
        <charset val="134"/>
      </rPr>
      <t>7.</t>
    </r>
    <r>
      <rPr>
        <sz val="9"/>
        <rFont val="Noto Sans CJK SC"/>
        <charset val="134"/>
      </rPr>
      <t>优惠计算逻辑：满减</t>
    </r>
    <r>
      <rPr>
        <sz val="9"/>
        <rFont val="微软雅黑"/>
        <charset val="134"/>
      </rPr>
      <t>/</t>
    </r>
    <r>
      <rPr>
        <sz val="9"/>
        <rFont val="Noto Sans CJK SC"/>
        <charset val="134"/>
      </rPr>
      <t>折扣（不超</t>
    </r>
    <r>
      <rPr>
        <sz val="9"/>
        <rFont val="微软雅黑"/>
        <charset val="134"/>
      </rPr>
      <t>max_discount</t>
    </r>
    <r>
      <rPr>
        <sz val="9"/>
        <rFont val="Noto Sans CJK SC"/>
        <charset val="134"/>
      </rPr>
      <t>）</t>
    </r>
    <r>
      <rPr>
        <sz val="9"/>
        <rFont val="微软雅黑"/>
        <charset val="134"/>
      </rPr>
      <t>/</t>
    </r>
    <r>
      <rPr>
        <sz val="9"/>
        <rFont val="Noto Sans CJK SC"/>
        <charset val="134"/>
      </rPr>
      <t>立减，确保不小于</t>
    </r>
    <r>
      <rPr>
        <sz val="9"/>
        <rFont val="微软雅黑"/>
        <charset val="134"/>
      </rPr>
      <t>0</t>
    </r>
  </si>
  <si>
    <r>
      <rPr>
        <sz val="9"/>
        <rFont val="微软雅黑"/>
        <charset val="134"/>
      </rPr>
      <t>Redis</t>
    </r>
    <r>
      <rPr>
        <sz val="9"/>
        <rFont val="Noto Sans CJK SC"/>
        <charset val="134"/>
      </rPr>
      <t>分布式锁防超发；</t>
    </r>
    <r>
      <rPr>
        <sz val="9"/>
        <rFont val="微软雅黑"/>
        <charset val="134"/>
      </rPr>
      <t>MQ</t>
    </r>
    <r>
      <rPr>
        <sz val="9"/>
        <rFont val="Noto Sans CJK SC"/>
        <charset val="134"/>
      </rPr>
      <t>异步批量发放；定时任务自动解锁锁定券；退款还券逻辑</t>
    </r>
  </si>
  <si>
    <t>优惠券列表</t>
  </si>
  <si>
    <r>
      <rPr>
        <sz val="9"/>
        <rFont val="微软雅黑"/>
        <charset val="134"/>
      </rPr>
      <t>1.</t>
    </r>
    <r>
      <rPr>
        <sz val="9"/>
        <rFont val="Noto Sans CJK SC"/>
        <charset val="134"/>
      </rPr>
      <t>分页列表：名称</t>
    </r>
    <r>
      <rPr>
        <sz val="9"/>
        <rFont val="微软雅黑"/>
        <charset val="134"/>
      </rPr>
      <t>/</t>
    </r>
    <r>
      <rPr>
        <sz val="9"/>
        <rFont val="Noto Sans CJK SC"/>
        <charset val="134"/>
      </rPr>
      <t>编号</t>
    </r>
    <r>
      <rPr>
        <sz val="9"/>
        <rFont val="微软雅黑"/>
        <charset val="134"/>
      </rPr>
      <t>/</t>
    </r>
    <r>
      <rPr>
        <sz val="9"/>
        <rFont val="Noto Sans CJK SC"/>
        <charset val="134"/>
      </rPr>
      <t>类型</t>
    </r>
    <r>
      <rPr>
        <sz val="9"/>
        <rFont val="微软雅黑"/>
        <charset val="134"/>
      </rPr>
      <t>/</t>
    </r>
    <r>
      <rPr>
        <sz val="9"/>
        <rFont val="Noto Sans CJK SC"/>
        <charset val="134"/>
      </rPr>
      <t>优惠值</t>
    </r>
    <r>
      <rPr>
        <sz val="9"/>
        <rFont val="微软雅黑"/>
        <charset val="134"/>
      </rPr>
      <t>/</t>
    </r>
    <r>
      <rPr>
        <sz val="9"/>
        <rFont val="Noto Sans CJK SC"/>
        <charset val="134"/>
      </rPr>
      <t>发行量</t>
    </r>
    <r>
      <rPr>
        <sz val="9"/>
        <rFont val="微软雅黑"/>
        <charset val="134"/>
      </rPr>
      <t>/</t>
    </r>
    <r>
      <rPr>
        <sz val="9"/>
        <rFont val="Noto Sans CJK SC"/>
        <charset val="134"/>
      </rPr>
      <t>已领取</t>
    </r>
    <r>
      <rPr>
        <sz val="9"/>
        <rFont val="微软雅黑"/>
        <charset val="134"/>
      </rPr>
      <t>/</t>
    </r>
    <r>
      <rPr>
        <sz val="9"/>
        <rFont val="Noto Sans CJK SC"/>
        <charset val="134"/>
      </rPr>
      <t>已使用</t>
    </r>
    <r>
      <rPr>
        <sz val="9"/>
        <rFont val="微软雅黑"/>
        <charset val="134"/>
      </rPr>
      <t>/</t>
    </r>
    <r>
      <rPr>
        <sz val="9"/>
        <rFont val="Noto Sans CJK SC"/>
        <charset val="134"/>
      </rPr>
      <t>领取率</t>
    </r>
    <r>
      <rPr>
        <sz val="9"/>
        <rFont val="微软雅黑"/>
        <charset val="134"/>
      </rPr>
      <t>/</t>
    </r>
    <r>
      <rPr>
        <sz val="9"/>
        <rFont val="Noto Sans CJK SC"/>
        <charset val="134"/>
      </rPr>
      <t>使用率</t>
    </r>
    <r>
      <rPr>
        <sz val="9"/>
        <rFont val="微软雅黑"/>
        <charset val="134"/>
      </rPr>
      <t>/</t>
    </r>
    <r>
      <rPr>
        <sz val="9"/>
        <rFont val="Noto Sans CJK SC"/>
        <charset val="134"/>
      </rPr>
      <t>有效期</t>
    </r>
    <r>
      <rPr>
        <sz val="9"/>
        <rFont val="微软雅黑"/>
        <charset val="134"/>
      </rPr>
      <t>/</t>
    </r>
    <r>
      <rPr>
        <sz val="9"/>
        <rFont val="Noto Sans CJK SC"/>
        <charset val="134"/>
      </rPr>
      <t xml:space="preserve">状态
</t>
    </r>
    <r>
      <rPr>
        <sz val="9"/>
        <rFont val="微软雅黑"/>
        <charset val="134"/>
      </rPr>
      <t>2.</t>
    </r>
    <r>
      <rPr>
        <sz val="9"/>
        <rFont val="Noto Sans CJK SC"/>
        <charset val="134"/>
      </rPr>
      <t>筛选：类型</t>
    </r>
    <r>
      <rPr>
        <sz val="9"/>
        <rFont val="微软雅黑"/>
        <charset val="134"/>
      </rPr>
      <t>/</t>
    </r>
    <r>
      <rPr>
        <sz val="9"/>
        <rFont val="Noto Sans CJK SC"/>
        <charset val="134"/>
      </rPr>
      <t>发放方式</t>
    </r>
    <r>
      <rPr>
        <sz val="9"/>
        <rFont val="微软雅黑"/>
        <charset val="134"/>
      </rPr>
      <t>/</t>
    </r>
    <r>
      <rPr>
        <sz val="9"/>
        <rFont val="Noto Sans CJK SC"/>
        <charset val="134"/>
      </rPr>
      <t>状态</t>
    </r>
    <r>
      <rPr>
        <sz val="9"/>
        <rFont val="微软雅黑"/>
        <charset val="134"/>
      </rPr>
      <t>/</t>
    </r>
    <r>
      <rPr>
        <sz val="9"/>
        <rFont val="Noto Sans CJK SC"/>
        <charset val="134"/>
      </rPr>
      <t>时间范围</t>
    </r>
    <r>
      <rPr>
        <sz val="9"/>
        <rFont val="微软雅黑"/>
        <charset val="134"/>
      </rPr>
      <t>/</t>
    </r>
    <r>
      <rPr>
        <sz val="9"/>
        <rFont val="Noto Sans CJK SC"/>
        <charset val="134"/>
      </rPr>
      <t xml:space="preserve">关键词
</t>
    </r>
    <r>
      <rPr>
        <sz val="9"/>
        <rFont val="微软雅黑"/>
        <charset val="134"/>
      </rPr>
      <t>3.</t>
    </r>
    <r>
      <rPr>
        <sz val="9"/>
        <rFont val="Noto Sans CJK SC"/>
        <charset val="134"/>
      </rPr>
      <t>追加发行量：输入追加数量，</t>
    </r>
    <r>
      <rPr>
        <sz val="9"/>
        <rFont val="微软雅黑"/>
        <charset val="134"/>
      </rPr>
      <t>total_count+=N
4.</t>
    </r>
    <r>
      <rPr>
        <sz val="9"/>
        <rFont val="Noto Sans CJK SC"/>
        <charset val="134"/>
      </rPr>
      <t>延长有效期：修改</t>
    </r>
    <r>
      <rPr>
        <sz val="9"/>
        <rFont val="微软雅黑"/>
        <charset val="134"/>
      </rPr>
      <t>end_time</t>
    </r>
    <r>
      <rPr>
        <sz val="9"/>
        <rFont val="Noto Sans CJK SC"/>
        <charset val="134"/>
      </rPr>
      <t>或</t>
    </r>
    <r>
      <rPr>
        <sz val="9"/>
        <rFont val="微软雅黑"/>
        <charset val="134"/>
      </rPr>
      <t>valid_days
5.</t>
    </r>
    <r>
      <rPr>
        <sz val="9"/>
        <rFont val="Noto Sans CJK SC"/>
        <charset val="134"/>
      </rPr>
      <t>下架操作：</t>
    </r>
    <r>
      <rPr>
        <sz val="9"/>
        <rFont val="微软雅黑"/>
        <charset val="134"/>
      </rPr>
      <t>status=3</t>
    </r>
    <r>
      <rPr>
        <sz val="9"/>
        <rFont val="Noto Sans CJK SC"/>
        <charset val="134"/>
      </rPr>
      <t xml:space="preserve">，已领取未使用的券不强制失效；强制失效（超管权限）须二次确认
</t>
    </r>
    <r>
      <rPr>
        <sz val="9"/>
        <rFont val="微软雅黑"/>
        <charset val="134"/>
      </rPr>
      <t>6.</t>
    </r>
    <r>
      <rPr>
        <sz val="9"/>
        <rFont val="Noto Sans CJK SC"/>
        <charset val="134"/>
      </rPr>
      <t>编辑限制：进行中只可改结束时间和使用说明，已结束不可改</t>
    </r>
  </si>
  <si>
    <t>状态流转限制；编辑字段按状态动态控制</t>
  </si>
  <si>
    <t>核销统计</t>
  </si>
  <si>
    <r>
      <rPr>
        <sz val="9"/>
        <rFont val="微软雅黑"/>
        <charset val="134"/>
      </rPr>
      <t>1.</t>
    </r>
    <r>
      <rPr>
        <sz val="9"/>
        <rFont val="Noto Sans CJK SC"/>
        <charset val="134"/>
      </rPr>
      <t>统计详情页：核心指标卡（发行量</t>
    </r>
    <r>
      <rPr>
        <sz val="9"/>
        <rFont val="微软雅黑"/>
        <charset val="134"/>
      </rPr>
      <t>/</t>
    </r>
    <r>
      <rPr>
        <sz val="9"/>
        <rFont val="Noto Sans CJK SC"/>
        <charset val="134"/>
      </rPr>
      <t>领取量</t>
    </r>
    <r>
      <rPr>
        <sz val="9"/>
        <rFont val="微软雅黑"/>
        <charset val="134"/>
      </rPr>
      <t>/</t>
    </r>
    <r>
      <rPr>
        <sz val="9"/>
        <rFont val="Noto Sans CJK SC"/>
        <charset val="134"/>
      </rPr>
      <t>领取率</t>
    </r>
    <r>
      <rPr>
        <sz val="9"/>
        <rFont val="微软雅黑"/>
        <charset val="134"/>
      </rPr>
      <t>/</t>
    </r>
    <r>
      <rPr>
        <sz val="9"/>
        <rFont val="Noto Sans CJK SC"/>
        <charset val="134"/>
      </rPr>
      <t>使用量</t>
    </r>
    <r>
      <rPr>
        <sz val="9"/>
        <rFont val="微软雅黑"/>
        <charset val="134"/>
      </rPr>
      <t>/</t>
    </r>
    <r>
      <rPr>
        <sz val="9"/>
        <rFont val="Noto Sans CJK SC"/>
        <charset val="134"/>
      </rPr>
      <t>使用率</t>
    </r>
    <r>
      <rPr>
        <sz val="9"/>
        <rFont val="微软雅黑"/>
        <charset val="134"/>
      </rPr>
      <t>/</t>
    </r>
    <r>
      <rPr>
        <sz val="9"/>
        <rFont val="Noto Sans CJK SC"/>
        <charset val="134"/>
      </rPr>
      <t>剩余量</t>
    </r>
    <r>
      <rPr>
        <sz val="9"/>
        <rFont val="微软雅黑"/>
        <charset val="134"/>
      </rPr>
      <t>/</t>
    </r>
    <r>
      <rPr>
        <sz val="9"/>
        <rFont val="Noto Sans CJK SC"/>
        <charset val="134"/>
      </rPr>
      <t>带动</t>
    </r>
    <r>
      <rPr>
        <sz val="9"/>
        <rFont val="微软雅黑"/>
        <charset val="134"/>
      </rPr>
      <t>GMV/</t>
    </r>
    <r>
      <rPr>
        <sz val="9"/>
        <rFont val="Noto Sans CJK SC"/>
        <charset val="134"/>
      </rPr>
      <t xml:space="preserve">平均优惠金额）
</t>
    </r>
    <r>
      <rPr>
        <sz val="9"/>
        <rFont val="微软雅黑"/>
        <charset val="134"/>
      </rPr>
      <t>2.</t>
    </r>
    <r>
      <rPr>
        <sz val="9"/>
        <rFont val="Noto Sans CJK SC"/>
        <charset val="134"/>
      </rPr>
      <t xml:space="preserve">趋势图：按天统计领取量和使用量（双折线）
</t>
    </r>
    <r>
      <rPr>
        <sz val="9"/>
        <rFont val="微软雅黑"/>
        <charset val="134"/>
      </rPr>
      <t>3.</t>
    </r>
    <r>
      <rPr>
        <sz val="9"/>
        <rFont val="Noto Sans CJK SC"/>
        <charset val="134"/>
      </rPr>
      <t>用户分析：新老用户占比</t>
    </r>
    <r>
      <rPr>
        <sz val="9"/>
        <rFont val="微软雅黑"/>
        <charset val="134"/>
      </rPr>
      <t>/</t>
    </r>
    <r>
      <rPr>
        <sz val="9"/>
        <rFont val="Noto Sans CJK SC"/>
        <charset val="134"/>
      </rPr>
      <t xml:space="preserve">地域分布
</t>
    </r>
    <r>
      <rPr>
        <sz val="9"/>
        <rFont val="微软雅黑"/>
        <charset val="134"/>
      </rPr>
      <t>4.</t>
    </r>
    <r>
      <rPr>
        <sz val="9"/>
        <rFont val="Noto Sans CJK SC"/>
        <charset val="134"/>
      </rPr>
      <t>订单明细列表：使用该券的订单（用户</t>
    </r>
    <r>
      <rPr>
        <sz val="9"/>
        <rFont val="微软雅黑"/>
        <charset val="134"/>
      </rPr>
      <t>/</t>
    </r>
    <r>
      <rPr>
        <sz val="9"/>
        <rFont val="Noto Sans CJK SC"/>
        <charset val="134"/>
      </rPr>
      <t>订单号</t>
    </r>
    <r>
      <rPr>
        <sz val="9"/>
        <rFont val="微软雅黑"/>
        <charset val="134"/>
      </rPr>
      <t>/</t>
    </r>
    <r>
      <rPr>
        <sz val="9"/>
        <rFont val="Noto Sans CJK SC"/>
        <charset val="134"/>
      </rPr>
      <t>订单金额</t>
    </r>
    <r>
      <rPr>
        <sz val="9"/>
        <rFont val="微软雅黑"/>
        <charset val="134"/>
      </rPr>
      <t>/</t>
    </r>
    <r>
      <rPr>
        <sz val="9"/>
        <rFont val="Noto Sans CJK SC"/>
        <charset val="134"/>
      </rPr>
      <t>优惠金额</t>
    </r>
    <r>
      <rPr>
        <sz val="9"/>
        <rFont val="微软雅黑"/>
        <charset val="134"/>
      </rPr>
      <t>/</t>
    </r>
    <r>
      <rPr>
        <sz val="9"/>
        <rFont val="Noto Sans CJK SC"/>
        <charset val="134"/>
      </rPr>
      <t xml:space="preserve">支付时间）
</t>
    </r>
    <r>
      <rPr>
        <sz val="9"/>
        <rFont val="微软雅黑"/>
        <charset val="134"/>
      </rPr>
      <t>5.</t>
    </r>
    <r>
      <rPr>
        <sz val="9"/>
        <rFont val="Noto Sans CJK SC"/>
        <charset val="134"/>
      </rPr>
      <t>导出：领取明细</t>
    </r>
    <r>
      <rPr>
        <sz val="9"/>
        <rFont val="微软雅黑"/>
        <charset val="134"/>
      </rPr>
      <t>Excel/</t>
    </r>
    <r>
      <rPr>
        <sz val="9"/>
        <rFont val="Noto Sans CJK SC"/>
        <charset val="134"/>
      </rPr>
      <t>使用明细</t>
    </r>
    <r>
      <rPr>
        <sz val="9"/>
        <rFont val="微软雅黑"/>
        <charset val="134"/>
      </rPr>
      <t>Excel/</t>
    </r>
    <r>
      <rPr>
        <sz val="9"/>
        <rFont val="Noto Sans CJK SC"/>
        <charset val="134"/>
      </rPr>
      <t>兑换码列表</t>
    </r>
    <r>
      <rPr>
        <sz val="9"/>
        <rFont val="微软雅黑"/>
        <charset val="134"/>
      </rPr>
      <t>Excel
6.</t>
    </r>
    <r>
      <rPr>
        <sz val="9"/>
        <rFont val="Noto Sans CJK SC"/>
        <charset val="134"/>
      </rPr>
      <t>过期提醒定时任务：每天</t>
    </r>
    <r>
      <rPr>
        <sz val="9"/>
        <rFont val="微软雅黑"/>
        <charset val="134"/>
      </rPr>
      <t>10:00</t>
    </r>
    <r>
      <rPr>
        <sz val="9"/>
        <rFont val="Noto Sans CJK SC"/>
        <charset val="134"/>
      </rPr>
      <t>扫描</t>
    </r>
    <r>
      <rPr>
        <sz val="9"/>
        <rFont val="微软雅黑"/>
        <charset val="134"/>
      </rPr>
      <t>3</t>
    </r>
    <r>
      <rPr>
        <sz val="9"/>
        <rFont val="Noto Sans CJK SC"/>
        <charset val="134"/>
      </rPr>
      <t>天内过期券，发送站内消息提醒用户</t>
    </r>
  </si>
  <si>
    <r>
      <rPr>
        <sz val="9"/>
        <rFont val="微软雅黑"/>
        <charset val="134"/>
      </rPr>
      <t>ECharts</t>
    </r>
    <r>
      <rPr>
        <sz val="9"/>
        <rFont val="Noto Sans CJK SC"/>
        <charset val="134"/>
      </rPr>
      <t>折线图；大数据量</t>
    </r>
    <r>
      <rPr>
        <sz val="9"/>
        <rFont val="微软雅黑"/>
        <charset val="134"/>
      </rPr>
      <t>Excel</t>
    </r>
    <r>
      <rPr>
        <sz val="9"/>
        <rFont val="Noto Sans CJK SC"/>
        <charset val="134"/>
      </rPr>
      <t>异步导出；过期提醒定时任务</t>
    </r>
  </si>
  <si>
    <t>积分管理</t>
  </si>
  <si>
    <t>积分规则配置</t>
  </si>
  <si>
    <r>
      <rPr>
        <sz val="9"/>
        <rFont val="微软雅黑"/>
        <charset val="134"/>
      </rPr>
      <t>1.</t>
    </r>
    <r>
      <rPr>
        <sz val="9"/>
        <rFont val="Noto Sans CJK SC"/>
        <charset val="134"/>
      </rPr>
      <t>规则列表：名称</t>
    </r>
    <r>
      <rPr>
        <sz val="9"/>
        <rFont val="微软雅黑"/>
        <charset val="134"/>
      </rPr>
      <t>/</t>
    </r>
    <r>
      <rPr>
        <sz val="9"/>
        <rFont val="Noto Sans CJK SC"/>
        <charset val="134"/>
      </rPr>
      <t>编码</t>
    </r>
    <r>
      <rPr>
        <sz val="9"/>
        <rFont val="微软雅黑"/>
        <charset val="134"/>
      </rPr>
      <t>/</t>
    </r>
    <r>
      <rPr>
        <sz val="9"/>
        <rFont val="Noto Sans CJK SC"/>
        <charset val="134"/>
      </rPr>
      <t>事件类型</t>
    </r>
    <r>
      <rPr>
        <sz val="9"/>
        <rFont val="微软雅黑"/>
        <charset val="134"/>
      </rPr>
      <t>/</t>
    </r>
    <r>
      <rPr>
        <sz val="9"/>
        <rFont val="Noto Sans CJK SC"/>
        <charset val="134"/>
      </rPr>
      <t>积分值</t>
    </r>
    <r>
      <rPr>
        <sz val="9"/>
        <rFont val="微软雅黑"/>
        <charset val="134"/>
      </rPr>
      <t>/</t>
    </r>
    <r>
      <rPr>
        <sz val="9"/>
        <rFont val="Noto Sans CJK SC"/>
        <charset val="134"/>
      </rPr>
      <t>限制类型</t>
    </r>
    <r>
      <rPr>
        <sz val="9"/>
        <rFont val="微软雅黑"/>
        <charset val="134"/>
      </rPr>
      <t>/</t>
    </r>
    <r>
      <rPr>
        <sz val="9"/>
        <rFont val="Noto Sans CJK SC"/>
        <charset val="134"/>
      </rPr>
      <t>状态</t>
    </r>
    <r>
      <rPr>
        <sz val="9"/>
        <rFont val="微软雅黑"/>
        <charset val="134"/>
      </rPr>
      <t>/</t>
    </r>
    <r>
      <rPr>
        <sz val="9"/>
        <rFont val="Noto Sans CJK SC"/>
        <charset val="134"/>
      </rPr>
      <t xml:space="preserve">排序
</t>
    </r>
    <r>
      <rPr>
        <sz val="9"/>
        <rFont val="微软雅黑"/>
        <charset val="134"/>
      </rPr>
      <t>2.</t>
    </r>
    <r>
      <rPr>
        <sz val="9"/>
        <rFont val="Noto Sans CJK SC"/>
        <charset val="134"/>
      </rPr>
      <t>新增</t>
    </r>
    <r>
      <rPr>
        <sz val="9"/>
        <rFont val="微软雅黑"/>
        <charset val="134"/>
      </rPr>
      <t>/</t>
    </r>
    <r>
      <rPr>
        <sz val="9"/>
        <rFont val="Noto Sans CJK SC"/>
        <charset val="134"/>
      </rPr>
      <t>编辑规则：规则编码唯一（保存后不可修改）；事件类型</t>
    </r>
    <r>
      <rPr>
        <sz val="9"/>
        <rFont val="微软雅黑"/>
        <charset val="134"/>
      </rPr>
      <t>7</t>
    </r>
    <r>
      <rPr>
        <sz val="9"/>
        <rFont val="Noto Sans CJK SC"/>
        <charset val="134"/>
      </rPr>
      <t>种（注册</t>
    </r>
    <r>
      <rPr>
        <sz val="9"/>
        <rFont val="微软雅黑"/>
        <charset val="134"/>
      </rPr>
      <t>/</t>
    </r>
    <r>
      <rPr>
        <sz val="9"/>
        <rFont val="Noto Sans CJK SC"/>
        <charset val="134"/>
      </rPr>
      <t>签到</t>
    </r>
    <r>
      <rPr>
        <sz val="9"/>
        <rFont val="微软雅黑"/>
        <charset val="134"/>
      </rPr>
      <t>/</t>
    </r>
    <r>
      <rPr>
        <sz val="9"/>
        <rFont val="Noto Sans CJK SC"/>
        <charset val="134"/>
      </rPr>
      <t>消费</t>
    </r>
    <r>
      <rPr>
        <sz val="9"/>
        <rFont val="微软雅黑"/>
        <charset val="134"/>
      </rPr>
      <t>/</t>
    </r>
    <r>
      <rPr>
        <sz val="9"/>
        <rFont val="Noto Sans CJK SC"/>
        <charset val="134"/>
      </rPr>
      <t>分享</t>
    </r>
    <r>
      <rPr>
        <sz val="9"/>
        <rFont val="微软雅黑"/>
        <charset val="134"/>
      </rPr>
      <t>/</t>
    </r>
    <r>
      <rPr>
        <sz val="9"/>
        <rFont val="Noto Sans CJK SC"/>
        <charset val="134"/>
      </rPr>
      <t>评价</t>
    </r>
    <r>
      <rPr>
        <sz val="9"/>
        <rFont val="微软雅黑"/>
        <charset val="134"/>
      </rPr>
      <t>/</t>
    </r>
    <r>
      <rPr>
        <sz val="9"/>
        <rFont val="Noto Sans CJK SC"/>
        <charset val="134"/>
      </rPr>
      <t>兑换</t>
    </r>
    <r>
      <rPr>
        <sz val="9"/>
        <rFont val="微软雅黑"/>
        <charset val="134"/>
      </rPr>
      <t>/</t>
    </r>
    <r>
      <rPr>
        <sz val="9"/>
        <rFont val="Noto Sans CJK SC"/>
        <charset val="134"/>
      </rPr>
      <t xml:space="preserve">过期）
</t>
    </r>
    <r>
      <rPr>
        <sz val="9"/>
        <rFont val="微软雅黑"/>
        <charset val="134"/>
      </rPr>
      <t>3.</t>
    </r>
    <r>
      <rPr>
        <sz val="9"/>
        <rFont val="Noto Sans CJK SC"/>
        <charset val="134"/>
      </rPr>
      <t>限制类型：不限</t>
    </r>
    <r>
      <rPr>
        <sz val="9"/>
        <rFont val="微软雅黑"/>
        <charset val="134"/>
      </rPr>
      <t>/</t>
    </r>
    <r>
      <rPr>
        <sz val="9"/>
        <rFont val="Noto Sans CJK SC"/>
        <charset val="134"/>
      </rPr>
      <t>每天</t>
    </r>
    <r>
      <rPr>
        <sz val="9"/>
        <rFont val="微软雅黑"/>
        <charset val="134"/>
      </rPr>
      <t>/</t>
    </r>
    <r>
      <rPr>
        <sz val="9"/>
        <rFont val="Noto Sans CJK SC"/>
        <charset val="134"/>
      </rPr>
      <t>每周</t>
    </r>
    <r>
      <rPr>
        <sz val="9"/>
        <rFont val="微软雅黑"/>
        <charset val="134"/>
      </rPr>
      <t>/</t>
    </r>
    <r>
      <rPr>
        <sz val="9"/>
        <rFont val="Noto Sans CJK SC"/>
        <charset val="134"/>
      </rPr>
      <t>每月</t>
    </r>
    <r>
      <rPr>
        <sz val="9"/>
        <rFont val="微软雅黑"/>
        <charset val="134"/>
      </rPr>
      <t>/</t>
    </r>
    <r>
      <rPr>
        <sz val="9"/>
        <rFont val="Noto Sans CJK SC"/>
        <charset val="134"/>
      </rPr>
      <t xml:space="preserve">总次数，选择后填写对应次数
</t>
    </r>
    <r>
      <rPr>
        <sz val="9"/>
        <rFont val="微软雅黑"/>
        <charset val="134"/>
      </rPr>
      <t>4.</t>
    </r>
    <r>
      <rPr>
        <sz val="9"/>
        <rFont val="Noto Sans CJK SC"/>
        <charset val="134"/>
      </rPr>
      <t>积分有效天数：</t>
    </r>
    <r>
      <rPr>
        <sz val="9"/>
        <rFont val="微软雅黑"/>
        <charset val="134"/>
      </rPr>
      <t>-1</t>
    </r>
    <r>
      <rPr>
        <sz val="9"/>
        <rFont val="Noto Sans CJK SC"/>
        <charset val="134"/>
      </rPr>
      <t>永久，正整数</t>
    </r>
    <r>
      <rPr>
        <sz val="9"/>
        <rFont val="微软雅黑"/>
        <charset val="134"/>
      </rPr>
      <t>N</t>
    </r>
    <r>
      <rPr>
        <sz val="9"/>
        <rFont val="Noto Sans CJK SC"/>
        <charset val="134"/>
      </rPr>
      <t xml:space="preserve">天过期
</t>
    </r>
    <r>
      <rPr>
        <sz val="9"/>
        <rFont val="微软雅黑"/>
        <charset val="134"/>
      </rPr>
      <t>5.</t>
    </r>
    <r>
      <rPr>
        <sz val="9"/>
        <rFont val="Noto Sans CJK SC"/>
        <charset val="134"/>
      </rPr>
      <t>条件配置（</t>
    </r>
    <r>
      <rPr>
        <sz val="9"/>
        <rFont val="微软雅黑"/>
        <charset val="134"/>
      </rPr>
      <t>JSON</t>
    </r>
    <r>
      <rPr>
        <sz val="9"/>
        <rFont val="Noto Sans CJK SC"/>
        <charset val="134"/>
      </rPr>
      <t xml:space="preserve">）：消费类可配置最低消费金额和积分比例；签到类可配置连续签到奖励阶梯
</t>
    </r>
    <r>
      <rPr>
        <sz val="9"/>
        <rFont val="微软雅黑"/>
        <charset val="134"/>
      </rPr>
      <t>6.</t>
    </r>
    <r>
      <rPr>
        <sz val="9"/>
        <rFont val="Noto Sans CJK SC"/>
        <charset val="134"/>
      </rPr>
      <t>启用</t>
    </r>
    <r>
      <rPr>
        <sz val="9"/>
        <rFont val="微软雅黑"/>
        <charset val="134"/>
      </rPr>
      <t>/</t>
    </r>
    <r>
      <rPr>
        <sz val="9"/>
        <rFont val="Noto Sans CJK SC"/>
        <charset val="134"/>
      </rPr>
      <t xml:space="preserve">禁用：禁用后对应事件不再触发积分，已有记录不受影响
</t>
    </r>
    <r>
      <rPr>
        <sz val="9"/>
        <rFont val="微软雅黑"/>
        <charset val="134"/>
      </rPr>
      <t>7.</t>
    </r>
    <r>
      <rPr>
        <sz val="9"/>
        <rFont val="Noto Sans CJK SC"/>
        <charset val="134"/>
      </rPr>
      <t xml:space="preserve">规则编码唯一校验；有积分记录关联的规则不允许删除
</t>
    </r>
    <r>
      <rPr>
        <sz val="9"/>
        <rFont val="微软雅黑"/>
        <charset val="134"/>
      </rPr>
      <t>8.</t>
    </r>
    <r>
      <rPr>
        <sz val="9"/>
        <rFont val="Noto Sans CJK SC"/>
        <charset val="134"/>
      </rPr>
      <t>积分等级体系：普通</t>
    </r>
    <r>
      <rPr>
        <sz val="9"/>
        <rFont val="微软雅黑"/>
        <charset val="134"/>
      </rPr>
      <t>(0-999)/</t>
    </r>
    <r>
      <rPr>
        <sz val="9"/>
        <rFont val="Noto Sans CJK SC"/>
        <charset val="134"/>
      </rPr>
      <t>银卡</t>
    </r>
    <r>
      <rPr>
        <sz val="9"/>
        <rFont val="微软雅黑"/>
        <charset val="134"/>
      </rPr>
      <t>(1000-4999)/</t>
    </r>
    <r>
      <rPr>
        <sz val="9"/>
        <rFont val="Noto Sans CJK SC"/>
        <charset val="134"/>
      </rPr>
      <t>金卡</t>
    </r>
    <r>
      <rPr>
        <sz val="9"/>
        <rFont val="微软雅黑"/>
        <charset val="134"/>
      </rPr>
      <t>(5000-19999)/</t>
    </r>
    <r>
      <rPr>
        <sz val="9"/>
        <rFont val="Noto Sans CJK SC"/>
        <charset val="134"/>
      </rPr>
      <t>钻石</t>
    </r>
    <r>
      <rPr>
        <sz val="9"/>
        <rFont val="微软雅黑"/>
        <charset val="134"/>
      </rPr>
      <t>(20000+)</t>
    </r>
    <r>
      <rPr>
        <sz val="9"/>
        <rFont val="Noto Sans CJK SC"/>
        <charset val="134"/>
      </rPr>
      <t>，等级对应获取倍率</t>
    </r>
    <r>
      <rPr>
        <sz val="9"/>
        <rFont val="微软雅黑"/>
        <charset val="134"/>
      </rPr>
      <t>(1/1.2/1.5/2)</t>
    </r>
    <r>
      <rPr>
        <sz val="9"/>
        <rFont val="Noto Sans CJK SC"/>
        <charset val="134"/>
      </rPr>
      <t>，每天</t>
    </r>
    <r>
      <rPr>
        <sz val="9"/>
        <rFont val="微软雅黑"/>
        <charset val="134"/>
      </rPr>
      <t>0</t>
    </r>
    <r>
      <rPr>
        <sz val="9"/>
        <rFont val="Noto Sans CJK SC"/>
        <charset val="134"/>
      </rPr>
      <t>点定时任务更新，只升不降</t>
    </r>
  </si>
  <si>
    <t>规则引擎灵活配置；MQ事件驱动；积分等级倍率计算</t>
  </si>
  <si>
    <t>积分发放</t>
  </si>
  <si>
    <r>
      <rPr>
        <sz val="9"/>
        <rFont val="微软雅黑"/>
        <charset val="134"/>
      </rPr>
      <t>1.</t>
    </r>
    <r>
      <rPr>
        <sz val="9"/>
        <rFont val="Noto Sans CJK SC"/>
        <charset val="134"/>
      </rPr>
      <t>事件触发自动发放（后端</t>
    </r>
    <r>
      <rPr>
        <sz val="9"/>
        <rFont val="微软雅黑"/>
        <charset val="134"/>
      </rPr>
      <t>MQ</t>
    </r>
    <r>
      <rPr>
        <sz val="9"/>
        <rFont val="Noto Sans CJK SC"/>
        <charset val="134"/>
      </rPr>
      <t>消费）：接收业务事件→匹配启用规则→检查限制次数→计算积分（固定</t>
    </r>
    <r>
      <rPr>
        <sz val="9"/>
        <rFont val="微软雅黑"/>
        <charset val="134"/>
      </rPr>
      <t>/</t>
    </r>
    <r>
      <rPr>
        <sz val="9"/>
        <rFont val="Noto Sans CJK SC"/>
        <charset val="134"/>
      </rPr>
      <t>比例</t>
    </r>
    <r>
      <rPr>
        <sz val="9"/>
        <rFont val="微软雅黑"/>
        <charset val="134"/>
      </rPr>
      <t>/</t>
    </r>
    <r>
      <rPr>
        <sz val="9"/>
        <rFont val="Noto Sans CJK SC"/>
        <charset val="134"/>
      </rPr>
      <t>连续签到奖励）→更新</t>
    </r>
    <r>
      <rPr>
        <sz val="9"/>
        <rFont val="微软雅黑"/>
        <charset val="134"/>
      </rPr>
      <t>mkt_user_point</t>
    </r>
    <r>
      <rPr>
        <sz val="9"/>
        <rFont val="Noto Sans CJK SC"/>
        <charset val="134"/>
      </rPr>
      <t>（行锁）→插入</t>
    </r>
    <r>
      <rPr>
        <sz val="9"/>
        <rFont val="微软雅黑"/>
        <charset val="134"/>
      </rPr>
      <t>mkt_point_record→</t>
    </r>
    <r>
      <rPr>
        <sz val="9"/>
        <rFont val="Noto Sans CJK SC"/>
        <charset val="134"/>
      </rPr>
      <t xml:space="preserve">发送站内通知
</t>
    </r>
    <r>
      <rPr>
        <sz val="9"/>
        <rFont val="微软雅黑"/>
        <charset val="134"/>
      </rPr>
      <t>2.</t>
    </r>
    <r>
      <rPr>
        <sz val="9"/>
        <rFont val="Noto Sans CJK SC"/>
        <charset val="134"/>
      </rPr>
      <t xml:space="preserve">消费积分：订单完成后发放（非支付时）；退款时冻结该订单积分，退款确认后转为过期
</t>
    </r>
    <r>
      <rPr>
        <sz val="9"/>
        <rFont val="微软雅黑"/>
        <charset val="134"/>
      </rPr>
      <t>3.</t>
    </r>
    <r>
      <rPr>
        <sz val="9"/>
        <rFont val="Noto Sans CJK SC"/>
        <charset val="134"/>
      </rPr>
      <t>积分冻结</t>
    </r>
    <r>
      <rPr>
        <sz val="9"/>
        <rFont val="微软雅黑"/>
        <charset val="134"/>
      </rPr>
      <t>/</t>
    </r>
    <r>
      <rPr>
        <sz val="9"/>
        <rFont val="Noto Sans CJK SC"/>
        <charset val="134"/>
      </rPr>
      <t>解冻：</t>
    </r>
    <r>
      <rPr>
        <sz val="9"/>
        <rFont val="微软雅黑"/>
        <charset val="134"/>
      </rPr>
      <t>available_point↔frozen_point</t>
    </r>
    <r>
      <rPr>
        <sz val="9"/>
        <rFont val="Noto Sans CJK SC"/>
        <charset val="134"/>
      </rPr>
      <t>互转，更新</t>
    </r>
    <r>
      <rPr>
        <sz val="9"/>
        <rFont val="微软雅黑"/>
        <charset val="134"/>
      </rPr>
      <t>mkt_point_record.status
4.</t>
    </r>
    <r>
      <rPr>
        <sz val="9"/>
        <rFont val="Noto Sans CJK SC"/>
        <charset val="134"/>
      </rPr>
      <t>后台手动批量发放：输入用户</t>
    </r>
    <r>
      <rPr>
        <sz val="9"/>
        <rFont val="微软雅黑"/>
        <charset val="134"/>
      </rPr>
      <t>ID</t>
    </r>
    <r>
      <rPr>
        <sz val="9"/>
        <rFont val="Noto Sans CJK SC"/>
        <charset val="134"/>
      </rPr>
      <t>或上传</t>
    </r>
    <r>
      <rPr>
        <sz val="9"/>
        <rFont val="微软雅黑"/>
        <charset val="134"/>
      </rPr>
      <t>Excel→</t>
    </r>
    <r>
      <rPr>
        <sz val="9"/>
        <rFont val="Noto Sans CJK SC"/>
        <charset val="134"/>
      </rPr>
      <t>填写积分数和原因→</t>
    </r>
    <r>
      <rPr>
        <sz val="9"/>
        <rFont val="微软雅黑"/>
        <charset val="134"/>
      </rPr>
      <t>MQ</t>
    </r>
    <r>
      <rPr>
        <sz val="9"/>
        <rFont val="Noto Sans CJK SC"/>
        <charset val="134"/>
      </rPr>
      <t xml:space="preserve">异步批量发放→展示任务进度
</t>
    </r>
    <r>
      <rPr>
        <sz val="9"/>
        <rFont val="微软雅黑"/>
        <charset val="134"/>
      </rPr>
      <t>5.</t>
    </r>
    <r>
      <rPr>
        <sz val="9"/>
        <rFont val="Noto Sans CJK SC"/>
        <charset val="134"/>
      </rPr>
      <t>积分过期定时任务（每天凌晨</t>
    </r>
    <r>
      <rPr>
        <sz val="9"/>
        <rFont val="微软雅黑"/>
        <charset val="134"/>
      </rPr>
      <t>2:00</t>
    </r>
    <r>
      <rPr>
        <sz val="9"/>
        <rFont val="Noto Sans CJK SC"/>
        <charset val="134"/>
      </rPr>
      <t>）：先进先出原则扫描到期记录→扣减</t>
    </r>
    <r>
      <rPr>
        <sz val="9"/>
        <rFont val="微软雅黑"/>
        <charset val="134"/>
      </rPr>
      <t>available_point→</t>
    </r>
    <r>
      <rPr>
        <sz val="9"/>
        <rFont val="Noto Sans CJK SC"/>
        <charset val="134"/>
      </rPr>
      <t>增加</t>
    </r>
    <r>
      <rPr>
        <sz val="9"/>
        <rFont val="微软雅黑"/>
        <charset val="134"/>
      </rPr>
      <t>expire_point→</t>
    </r>
    <r>
      <rPr>
        <sz val="9"/>
        <rFont val="Noto Sans CJK SC"/>
        <charset val="134"/>
      </rPr>
      <t>更新</t>
    </r>
    <r>
      <rPr>
        <sz val="9"/>
        <rFont val="微软雅黑"/>
        <charset val="134"/>
      </rPr>
      <t>status=3
6.</t>
    </r>
    <r>
      <rPr>
        <sz val="9"/>
        <rFont val="Noto Sans CJK SC"/>
        <charset val="134"/>
      </rPr>
      <t>过期提醒（每天</t>
    </r>
    <r>
      <rPr>
        <sz val="9"/>
        <rFont val="微软雅黑"/>
        <charset val="134"/>
      </rPr>
      <t>10:00</t>
    </r>
    <r>
      <rPr>
        <sz val="9"/>
        <rFont val="Noto Sans CJK SC"/>
        <charset val="134"/>
      </rPr>
      <t>）：</t>
    </r>
    <r>
      <rPr>
        <sz val="9"/>
        <rFont val="微软雅黑"/>
        <charset val="134"/>
      </rPr>
      <t>7</t>
    </r>
    <r>
      <rPr>
        <sz val="9"/>
        <rFont val="Noto Sans CJK SC"/>
        <charset val="134"/>
      </rPr>
      <t>天内到期积分发站内消息，</t>
    </r>
    <r>
      <rPr>
        <sz val="9"/>
        <rFont val="微软雅黑"/>
        <charset val="134"/>
      </rPr>
      <t>1</t>
    </r>
    <r>
      <rPr>
        <sz val="9"/>
        <rFont val="Noto Sans CJK SC"/>
        <charset val="134"/>
      </rPr>
      <t>天前再次提醒</t>
    </r>
  </si>
  <si>
    <r>
      <rPr>
        <sz val="9"/>
        <rFont val="微软雅黑"/>
        <charset val="134"/>
      </rPr>
      <t>MQ</t>
    </r>
    <r>
      <rPr>
        <sz val="9"/>
        <rFont val="Noto Sans CJK SC"/>
        <charset val="134"/>
      </rPr>
      <t>事件驱动；数据库行锁防并发；先进先出过期处理；冻结解冻逻辑</t>
    </r>
  </si>
  <si>
    <t>积分兑换（积分商城）</t>
  </si>
  <si>
    <r>
      <rPr>
        <sz val="9"/>
        <rFont val="微软雅黑"/>
        <charset val="134"/>
      </rPr>
      <t>1.</t>
    </r>
    <r>
      <rPr>
        <sz val="9"/>
        <rFont val="Noto Sans CJK SC"/>
        <charset val="134"/>
      </rPr>
      <t>兑换品管理：列表</t>
    </r>
    <r>
      <rPr>
        <sz val="9"/>
        <rFont val="微软雅黑"/>
        <charset val="134"/>
      </rPr>
      <t>/</t>
    </r>
    <r>
      <rPr>
        <sz val="9"/>
        <rFont val="Noto Sans CJK SC"/>
        <charset val="134"/>
      </rPr>
      <t>新增</t>
    </r>
    <r>
      <rPr>
        <sz val="9"/>
        <rFont val="微软雅黑"/>
        <charset val="134"/>
      </rPr>
      <t>/</t>
    </r>
    <r>
      <rPr>
        <sz val="9"/>
        <rFont val="Noto Sans CJK SC"/>
        <charset val="134"/>
      </rPr>
      <t>编辑</t>
    </r>
    <r>
      <rPr>
        <sz val="9"/>
        <rFont val="微软雅黑"/>
        <charset val="134"/>
      </rPr>
      <t>/</t>
    </r>
    <r>
      <rPr>
        <sz val="9"/>
        <rFont val="Noto Sans CJK SC"/>
        <charset val="134"/>
      </rPr>
      <t>上下架</t>
    </r>
    <r>
      <rPr>
        <sz val="9"/>
        <rFont val="微软雅黑"/>
        <charset val="134"/>
      </rPr>
      <t>/</t>
    </r>
    <r>
      <rPr>
        <sz val="9"/>
        <rFont val="Noto Sans CJK SC"/>
        <charset val="134"/>
      </rPr>
      <t xml:space="preserve">删除
</t>
    </r>
    <r>
      <rPr>
        <sz val="9"/>
        <rFont val="微软雅黑"/>
        <charset val="134"/>
      </rPr>
      <t>2.</t>
    </r>
    <r>
      <rPr>
        <sz val="9"/>
        <rFont val="Noto Sans CJK SC"/>
        <charset val="134"/>
      </rPr>
      <t>新增兑换品：类型（实物</t>
    </r>
    <r>
      <rPr>
        <sz val="9"/>
        <rFont val="微软雅黑"/>
        <charset val="134"/>
      </rPr>
      <t>/</t>
    </r>
    <r>
      <rPr>
        <sz val="9"/>
        <rFont val="Noto Sans CJK SC"/>
        <charset val="134"/>
      </rPr>
      <t>优惠券</t>
    </r>
    <r>
      <rPr>
        <sz val="9"/>
        <rFont val="微软雅黑"/>
        <charset val="134"/>
      </rPr>
      <t>/</t>
    </r>
    <r>
      <rPr>
        <sz val="9"/>
        <rFont val="Noto Sans CJK SC"/>
        <charset val="134"/>
      </rPr>
      <t>话费</t>
    </r>
    <r>
      <rPr>
        <sz val="9"/>
        <rFont val="微软雅黑"/>
        <charset val="134"/>
      </rPr>
      <t>/</t>
    </r>
    <r>
      <rPr>
        <sz val="9"/>
        <rFont val="Noto Sans CJK SC"/>
        <charset val="134"/>
      </rPr>
      <t>现金）</t>
    </r>
    <r>
      <rPr>
        <sz val="9"/>
        <rFont val="微软雅黑"/>
        <charset val="134"/>
      </rPr>
      <t>/</t>
    </r>
    <r>
      <rPr>
        <sz val="9"/>
        <rFont val="Noto Sans CJK SC"/>
        <charset val="134"/>
      </rPr>
      <t>图片</t>
    </r>
    <r>
      <rPr>
        <sz val="9"/>
        <rFont val="微软雅黑"/>
        <charset val="134"/>
      </rPr>
      <t>/</t>
    </r>
    <r>
      <rPr>
        <sz val="9"/>
        <rFont val="Noto Sans CJK SC"/>
        <charset val="134"/>
      </rPr>
      <t>所需积分</t>
    </r>
    <r>
      <rPr>
        <sz val="9"/>
        <rFont val="微软雅黑"/>
        <charset val="134"/>
      </rPr>
      <t>/</t>
    </r>
    <r>
      <rPr>
        <sz val="9"/>
        <rFont val="Noto Sans CJK SC"/>
        <charset val="134"/>
      </rPr>
      <t>总库存</t>
    </r>
    <r>
      <rPr>
        <sz val="9"/>
        <rFont val="微软雅黑"/>
        <charset val="134"/>
      </rPr>
      <t>(-1</t>
    </r>
    <r>
      <rPr>
        <sz val="9"/>
        <rFont val="Noto Sans CJK SC"/>
        <charset val="134"/>
      </rPr>
      <t>不限</t>
    </r>
    <r>
      <rPr>
        <sz val="9"/>
        <rFont val="微软雅黑"/>
        <charset val="134"/>
      </rPr>
      <t>)/</t>
    </r>
    <r>
      <rPr>
        <sz val="9"/>
        <rFont val="Noto Sans CJK SC"/>
        <charset val="134"/>
      </rPr>
      <t>每人限兑</t>
    </r>
    <r>
      <rPr>
        <sz val="9"/>
        <rFont val="微软雅黑"/>
        <charset val="134"/>
      </rPr>
      <t>/</t>
    </r>
    <r>
      <rPr>
        <sz val="9"/>
        <rFont val="Noto Sans CJK SC"/>
        <charset val="134"/>
      </rPr>
      <t>有效期</t>
    </r>
    <r>
      <rPr>
        <sz val="9"/>
        <rFont val="微软雅黑"/>
        <charset val="134"/>
      </rPr>
      <t>/</t>
    </r>
    <r>
      <rPr>
        <sz val="9"/>
        <rFont val="Noto Sans CJK SC"/>
        <charset val="134"/>
      </rPr>
      <t xml:space="preserve">兑换说明；实物须填重量和需要收货地址；优惠券类型须选已有优惠券
</t>
    </r>
    <r>
      <rPr>
        <sz val="9"/>
        <rFont val="微软雅黑"/>
        <charset val="134"/>
      </rPr>
      <t>3.</t>
    </r>
    <r>
      <rPr>
        <sz val="9"/>
        <rFont val="Noto Sans CJK SC"/>
        <charset val="134"/>
      </rPr>
      <t xml:space="preserve">删除兑换品：有兑换记录时执行逻辑删除
</t>
    </r>
    <r>
      <rPr>
        <sz val="9"/>
        <rFont val="微软雅黑"/>
        <charset val="134"/>
      </rPr>
      <t>4.C</t>
    </r>
    <r>
      <rPr>
        <sz val="9"/>
        <rFont val="Noto Sans CJK SC"/>
        <charset val="134"/>
      </rPr>
      <t>端兑换流程：校验可用积分充足</t>
    </r>
    <r>
      <rPr>
        <sz val="9"/>
        <rFont val="微软雅黑"/>
        <charset val="134"/>
      </rPr>
      <t>+</t>
    </r>
    <r>
      <rPr>
        <sz val="9"/>
        <rFont val="Noto Sans CJK SC"/>
        <charset val="134"/>
      </rPr>
      <t>库存充足</t>
    </r>
    <r>
      <rPr>
        <sz val="9"/>
        <rFont val="微软雅黑"/>
        <charset val="134"/>
      </rPr>
      <t>+</t>
    </r>
    <r>
      <rPr>
        <sz val="9"/>
        <rFont val="Noto Sans CJK SC"/>
        <charset val="134"/>
      </rPr>
      <t>限兑次数→</t>
    </r>
    <r>
      <rPr>
        <sz val="9"/>
        <rFont val="微软雅黑"/>
        <charset val="134"/>
      </rPr>
      <t>Redis</t>
    </r>
    <r>
      <rPr>
        <sz val="9"/>
        <rFont val="Noto Sans CJK SC"/>
        <charset val="134"/>
      </rPr>
      <t>分布式锁→扣减积分（</t>
    </r>
    <r>
      <rPr>
        <sz val="9"/>
        <rFont val="微软雅黑"/>
        <charset val="134"/>
      </rPr>
      <t>mkt_user_point</t>
    </r>
    <r>
      <rPr>
        <sz val="9"/>
        <rFont val="Noto Sans CJK SC"/>
        <charset val="134"/>
      </rPr>
      <t>更新</t>
    </r>
    <r>
      <rPr>
        <sz val="9"/>
        <rFont val="微软雅黑"/>
        <charset val="134"/>
      </rPr>
      <t>+mkt_point_record</t>
    </r>
    <r>
      <rPr>
        <sz val="9"/>
        <rFont val="Noto Sans CJK SC"/>
        <charset val="134"/>
      </rPr>
      <t>插入）→创建兑换记录（</t>
    </r>
    <r>
      <rPr>
        <sz val="9"/>
        <rFont val="微软雅黑"/>
        <charset val="134"/>
      </rPr>
      <t>status=1</t>
    </r>
    <r>
      <rPr>
        <sz val="9"/>
        <rFont val="Noto Sans CJK SC"/>
        <charset val="134"/>
      </rPr>
      <t xml:space="preserve">待发货）→更新库存
</t>
    </r>
    <r>
      <rPr>
        <sz val="9"/>
        <rFont val="微软雅黑"/>
        <charset val="134"/>
      </rPr>
      <t>5.</t>
    </r>
    <r>
      <rPr>
        <sz val="9"/>
        <rFont val="Noto Sans CJK SC"/>
        <charset val="134"/>
      </rPr>
      <t>虚拟商品：系统自动异步发放（优惠券</t>
    </r>
    <r>
      <rPr>
        <sz val="9"/>
        <rFont val="微软雅黑"/>
        <charset val="134"/>
      </rPr>
      <t>/</t>
    </r>
    <r>
      <rPr>
        <sz val="9"/>
        <rFont val="Noto Sans CJK SC"/>
        <charset val="134"/>
      </rPr>
      <t>话费</t>
    </r>
    <r>
      <rPr>
        <sz val="9"/>
        <rFont val="微软雅黑"/>
        <charset val="134"/>
      </rPr>
      <t>/</t>
    </r>
    <r>
      <rPr>
        <sz val="9"/>
        <rFont val="Noto Sans CJK SC"/>
        <charset val="134"/>
      </rPr>
      <t>现金），</t>
    </r>
    <r>
      <rPr>
        <sz val="9"/>
        <rFont val="微软雅黑"/>
        <charset val="134"/>
      </rPr>
      <t>status=3</t>
    </r>
    <r>
      <rPr>
        <sz val="9"/>
        <rFont val="Noto Sans CJK SC"/>
        <charset val="134"/>
      </rPr>
      <t xml:space="preserve">已完成
</t>
    </r>
    <r>
      <rPr>
        <sz val="9"/>
        <rFont val="微软雅黑"/>
        <charset val="134"/>
      </rPr>
      <t>6.</t>
    </r>
    <r>
      <rPr>
        <sz val="9"/>
        <rFont val="Noto Sans CJK SC"/>
        <charset val="134"/>
      </rPr>
      <t>实物商品：运营后台填写快递公司和单号（必填）→</t>
    </r>
    <r>
      <rPr>
        <sz val="9"/>
        <rFont val="微软雅黑"/>
        <charset val="134"/>
      </rPr>
      <t>status=2</t>
    </r>
    <r>
      <rPr>
        <sz val="9"/>
        <rFont val="Noto Sans CJK SC"/>
        <charset val="134"/>
      </rPr>
      <t>已发货→发货通知→用户确认收货</t>
    </r>
    <r>
      <rPr>
        <sz val="9"/>
        <rFont val="微软雅黑"/>
        <charset val="134"/>
      </rPr>
      <t>/7</t>
    </r>
    <r>
      <rPr>
        <sz val="9"/>
        <rFont val="Noto Sans CJK SC"/>
        <charset val="134"/>
      </rPr>
      <t>天自动确认→</t>
    </r>
    <r>
      <rPr>
        <sz val="9"/>
        <rFont val="微软雅黑"/>
        <charset val="134"/>
      </rPr>
      <t>status=3
7.</t>
    </r>
    <r>
      <rPr>
        <sz val="9"/>
        <rFont val="Noto Sans CJK SC"/>
        <charset val="134"/>
      </rPr>
      <t>兑换记录列表：筛选状态，批量处理发货</t>
    </r>
  </si>
  <si>
    <r>
      <rPr>
        <sz val="9"/>
        <rFont val="微软雅黑"/>
        <charset val="134"/>
      </rPr>
      <t>Redis</t>
    </r>
    <r>
      <rPr>
        <sz val="9"/>
        <rFont val="Noto Sans CJK SC"/>
        <charset val="134"/>
      </rPr>
      <t>分布式锁防并发；虚拟商品自动发放；实物发货流程管理；库存管理</t>
    </r>
  </si>
  <si>
    <t>积分明细</t>
  </si>
  <si>
    <r>
      <rPr>
        <sz val="9"/>
        <rFont val="微软雅黑"/>
        <charset val="134"/>
      </rPr>
      <t>1.</t>
    </r>
    <r>
      <rPr>
        <sz val="9"/>
        <rFont val="Noto Sans CJK SC"/>
        <charset val="134"/>
      </rPr>
      <t>积分变动明细查询：按用户</t>
    </r>
    <r>
      <rPr>
        <sz val="9"/>
        <rFont val="微软雅黑"/>
        <charset val="134"/>
      </rPr>
      <t>ID/</t>
    </r>
    <r>
      <rPr>
        <sz val="9"/>
        <rFont val="Noto Sans CJK SC"/>
        <charset val="134"/>
      </rPr>
      <t>手机号</t>
    </r>
    <r>
      <rPr>
        <sz val="9"/>
        <rFont val="微软雅黑"/>
        <charset val="134"/>
      </rPr>
      <t>/</t>
    </r>
    <r>
      <rPr>
        <sz val="9"/>
        <rFont val="Noto Sans CJK SC"/>
        <charset val="134"/>
      </rPr>
      <t>事件类型</t>
    </r>
    <r>
      <rPr>
        <sz val="9"/>
        <rFont val="微软雅黑"/>
        <charset val="134"/>
      </rPr>
      <t>/</t>
    </r>
    <r>
      <rPr>
        <sz val="9"/>
        <rFont val="Noto Sans CJK SC"/>
        <charset val="134"/>
      </rPr>
      <t>变动类型</t>
    </r>
    <r>
      <rPr>
        <sz val="9"/>
        <rFont val="微软雅黑"/>
        <charset val="134"/>
      </rPr>
      <t>/</t>
    </r>
    <r>
      <rPr>
        <sz val="9"/>
        <rFont val="Noto Sans CJK SC"/>
        <charset val="134"/>
      </rPr>
      <t xml:space="preserve">时间范围筛选
</t>
    </r>
    <r>
      <rPr>
        <sz val="9"/>
        <rFont val="微软雅黑"/>
        <charset val="134"/>
      </rPr>
      <t>2.</t>
    </r>
    <r>
      <rPr>
        <sz val="9"/>
        <rFont val="Noto Sans CJK SC"/>
        <charset val="134"/>
      </rPr>
      <t>列表展示：用户</t>
    </r>
    <r>
      <rPr>
        <sz val="9"/>
        <rFont val="微软雅黑"/>
        <charset val="134"/>
      </rPr>
      <t>/</t>
    </r>
    <r>
      <rPr>
        <sz val="9"/>
        <rFont val="Noto Sans CJK SC"/>
        <charset val="134"/>
      </rPr>
      <t>规则名称</t>
    </r>
    <r>
      <rPr>
        <sz val="9"/>
        <rFont val="微软雅黑"/>
        <charset val="134"/>
      </rPr>
      <t>/</t>
    </r>
    <r>
      <rPr>
        <sz val="9"/>
        <rFont val="Noto Sans CJK SC"/>
        <charset val="134"/>
      </rPr>
      <t>变动类型（增加</t>
    </r>
    <r>
      <rPr>
        <sz val="9"/>
        <rFont val="微软雅黑"/>
        <charset val="134"/>
      </rPr>
      <t>/</t>
    </r>
    <r>
      <rPr>
        <sz val="9"/>
        <rFont val="Noto Sans CJK SC"/>
        <charset val="134"/>
      </rPr>
      <t>减少</t>
    </r>
    <r>
      <rPr>
        <sz val="9"/>
        <rFont val="微软雅黑"/>
        <charset val="134"/>
      </rPr>
      <t>/</t>
    </r>
    <r>
      <rPr>
        <sz val="9"/>
        <rFont val="Noto Sans CJK SC"/>
        <charset val="134"/>
      </rPr>
      <t>冻结</t>
    </r>
    <r>
      <rPr>
        <sz val="9"/>
        <rFont val="微软雅黑"/>
        <charset val="134"/>
      </rPr>
      <t>/</t>
    </r>
    <r>
      <rPr>
        <sz val="9"/>
        <rFont val="Noto Sans CJK SC"/>
        <charset val="134"/>
      </rPr>
      <t>解冻</t>
    </r>
    <r>
      <rPr>
        <sz val="9"/>
        <rFont val="微软雅黑"/>
        <charset val="134"/>
      </rPr>
      <t>/</t>
    </r>
    <r>
      <rPr>
        <sz val="9"/>
        <rFont val="Noto Sans CJK SC"/>
        <charset val="134"/>
      </rPr>
      <t>过期）</t>
    </r>
    <r>
      <rPr>
        <sz val="9"/>
        <rFont val="微软雅黑"/>
        <charset val="134"/>
      </rPr>
      <t>/</t>
    </r>
    <r>
      <rPr>
        <sz val="9"/>
        <rFont val="Noto Sans CJK SC"/>
        <charset val="134"/>
      </rPr>
      <t>变动积分</t>
    </r>
    <r>
      <rPr>
        <sz val="9"/>
        <rFont val="微软雅黑"/>
        <charset val="134"/>
      </rPr>
      <t>/</t>
    </r>
    <r>
      <rPr>
        <sz val="9"/>
        <rFont val="Noto Sans CJK SC"/>
        <charset val="134"/>
      </rPr>
      <t>变动前后积分</t>
    </r>
    <r>
      <rPr>
        <sz val="9"/>
        <rFont val="微软雅黑"/>
        <charset val="134"/>
      </rPr>
      <t>/</t>
    </r>
    <r>
      <rPr>
        <sz val="9"/>
        <rFont val="Noto Sans CJK SC"/>
        <charset val="134"/>
      </rPr>
      <t>来源业务</t>
    </r>
    <r>
      <rPr>
        <sz val="9"/>
        <rFont val="微软雅黑"/>
        <charset val="134"/>
      </rPr>
      <t>/</t>
    </r>
    <r>
      <rPr>
        <sz val="9"/>
        <rFont val="Noto Sans CJK SC"/>
        <charset val="134"/>
      </rPr>
      <t>生效</t>
    </r>
    <r>
      <rPr>
        <sz val="9"/>
        <rFont val="微软雅黑"/>
        <charset val="134"/>
      </rPr>
      <t>/</t>
    </r>
    <r>
      <rPr>
        <sz val="9"/>
        <rFont val="Noto Sans CJK SC"/>
        <charset val="134"/>
      </rPr>
      <t xml:space="preserve">失效时间
</t>
    </r>
    <r>
      <rPr>
        <sz val="9"/>
        <rFont val="微软雅黑"/>
        <charset val="134"/>
      </rPr>
      <t>3.</t>
    </r>
    <r>
      <rPr>
        <sz val="9"/>
        <rFont val="Noto Sans CJK SC"/>
        <charset val="134"/>
      </rPr>
      <t>用户积分账户查询：查看某用户的总积分</t>
    </r>
    <r>
      <rPr>
        <sz val="9"/>
        <rFont val="微软雅黑"/>
        <charset val="134"/>
      </rPr>
      <t>/</t>
    </r>
    <r>
      <rPr>
        <sz val="9"/>
        <rFont val="Noto Sans CJK SC"/>
        <charset val="134"/>
      </rPr>
      <t>可用</t>
    </r>
    <r>
      <rPr>
        <sz val="9"/>
        <rFont val="微软雅黑"/>
        <charset val="134"/>
      </rPr>
      <t>/</t>
    </r>
    <r>
      <rPr>
        <sz val="9"/>
        <rFont val="Noto Sans CJK SC"/>
        <charset val="134"/>
      </rPr>
      <t>已使用</t>
    </r>
    <r>
      <rPr>
        <sz val="9"/>
        <rFont val="微软雅黑"/>
        <charset val="134"/>
      </rPr>
      <t>/</t>
    </r>
    <r>
      <rPr>
        <sz val="9"/>
        <rFont val="Noto Sans CJK SC"/>
        <charset val="134"/>
      </rPr>
      <t>冻结</t>
    </r>
    <r>
      <rPr>
        <sz val="9"/>
        <rFont val="微软雅黑"/>
        <charset val="134"/>
      </rPr>
      <t>/</t>
    </r>
    <r>
      <rPr>
        <sz val="9"/>
        <rFont val="Noto Sans CJK SC"/>
        <charset val="134"/>
      </rPr>
      <t xml:space="preserve">过期积分和积分等级
</t>
    </r>
    <r>
      <rPr>
        <sz val="9"/>
        <rFont val="微软雅黑"/>
        <charset val="134"/>
      </rPr>
      <t>4.</t>
    </r>
    <r>
      <rPr>
        <sz val="9"/>
        <rFont val="Noto Sans CJK SC"/>
        <charset val="134"/>
      </rPr>
      <t>管理员手动调整积分：加减积分须填写原因，记录到</t>
    </r>
    <r>
      <rPr>
        <sz val="9"/>
        <rFont val="微软雅黑"/>
        <charset val="134"/>
      </rPr>
      <t>mkt_point_record</t>
    </r>
    <r>
      <rPr>
        <sz val="9"/>
        <rFont val="Noto Sans CJK SC"/>
        <charset val="134"/>
      </rPr>
      <t>（</t>
    </r>
    <r>
      <rPr>
        <sz val="9"/>
        <rFont val="微软雅黑"/>
        <charset val="134"/>
      </rPr>
      <t>remark</t>
    </r>
    <r>
      <rPr>
        <sz val="9"/>
        <rFont val="Noto Sans CJK SC"/>
        <charset val="134"/>
      </rPr>
      <t xml:space="preserve">注明操作人）
</t>
    </r>
    <r>
      <rPr>
        <sz val="9"/>
        <rFont val="微软雅黑"/>
        <charset val="134"/>
      </rPr>
      <t>5.</t>
    </r>
    <r>
      <rPr>
        <sz val="9"/>
        <rFont val="Noto Sans CJK SC"/>
        <charset val="134"/>
      </rPr>
      <t>导出</t>
    </r>
    <r>
      <rPr>
        <sz val="9"/>
        <rFont val="微软雅黑"/>
        <charset val="134"/>
      </rPr>
      <t>Excel</t>
    </r>
    <r>
      <rPr>
        <sz val="9"/>
        <rFont val="Noto Sans CJK SC"/>
        <charset val="134"/>
      </rPr>
      <t xml:space="preserve">明细报表
</t>
    </r>
    <r>
      <rPr>
        <sz val="9"/>
        <rFont val="微软雅黑"/>
        <charset val="134"/>
      </rPr>
      <t>6.</t>
    </r>
    <r>
      <rPr>
        <sz val="9"/>
        <rFont val="Noto Sans CJK SC"/>
        <charset val="134"/>
      </rPr>
      <t>积分统计分析：积分排行榜</t>
    </r>
    <r>
      <rPr>
        <sz val="9"/>
        <rFont val="微软雅黑"/>
        <charset val="134"/>
      </rPr>
      <t>Top100/</t>
    </r>
    <r>
      <rPr>
        <sz val="9"/>
        <rFont val="Noto Sans CJK SC"/>
        <charset val="134"/>
      </rPr>
      <t>用户等级分布</t>
    </r>
    <r>
      <rPr>
        <sz val="9"/>
        <rFont val="微软雅黑"/>
        <charset val="134"/>
      </rPr>
      <t>/</t>
    </r>
    <r>
      <rPr>
        <sz val="9"/>
        <rFont val="Noto Sans CJK SC"/>
        <charset val="134"/>
      </rPr>
      <t>发放趋势</t>
    </r>
    <r>
      <rPr>
        <sz val="9"/>
        <rFont val="微软雅黑"/>
        <charset val="134"/>
      </rPr>
      <t>/</t>
    </r>
    <r>
      <rPr>
        <sz val="9"/>
        <rFont val="Noto Sans CJK SC"/>
        <charset val="134"/>
      </rPr>
      <t>消费趋势</t>
    </r>
  </si>
  <si>
    <t>多条件组合查询优化；手动调整操作日志；Excel导出</t>
  </si>
  <si>
    <t>数据统计</t>
  </si>
  <si>
    <t>实时看板</t>
  </si>
  <si>
    <r>
      <rPr>
        <sz val="9"/>
        <rFont val="微软雅黑"/>
        <charset val="134"/>
      </rPr>
      <t>1.</t>
    </r>
    <r>
      <rPr>
        <sz val="9"/>
        <rFont val="Noto Sans CJK SC"/>
        <charset val="134"/>
      </rPr>
      <t>今日概览</t>
    </r>
    <r>
      <rPr>
        <sz val="9"/>
        <rFont val="微软雅黑"/>
        <charset val="134"/>
      </rPr>
      <t>10</t>
    </r>
    <r>
      <rPr>
        <sz val="9"/>
        <rFont val="Noto Sans CJK SC"/>
        <charset val="134"/>
      </rPr>
      <t>个指标卡（实时，每</t>
    </r>
    <r>
      <rPr>
        <sz val="9"/>
        <rFont val="微软雅黑"/>
        <charset val="134"/>
      </rPr>
      <t>5</t>
    </r>
    <r>
      <rPr>
        <sz val="9"/>
        <rFont val="Noto Sans CJK SC"/>
        <charset val="134"/>
      </rPr>
      <t>分钟自动刷新）：新增用户</t>
    </r>
    <r>
      <rPr>
        <sz val="9"/>
        <rFont val="微软雅黑"/>
        <charset val="134"/>
      </rPr>
      <t>/</t>
    </r>
    <r>
      <rPr>
        <sz val="9"/>
        <rFont val="Noto Sans CJK SC"/>
        <charset val="134"/>
      </rPr>
      <t>活跃用户</t>
    </r>
    <r>
      <rPr>
        <sz val="9"/>
        <rFont val="微软雅黑"/>
        <charset val="134"/>
      </rPr>
      <t>/</t>
    </r>
    <r>
      <rPr>
        <sz val="9"/>
        <rFont val="Noto Sans CJK SC"/>
        <charset val="134"/>
      </rPr>
      <t>订单数</t>
    </r>
    <r>
      <rPr>
        <sz val="9"/>
        <rFont val="微软雅黑"/>
        <charset val="134"/>
      </rPr>
      <t>/</t>
    </r>
    <r>
      <rPr>
        <sz val="9"/>
        <rFont val="Noto Sans CJK SC"/>
        <charset val="134"/>
      </rPr>
      <t>支付金额</t>
    </r>
    <r>
      <rPr>
        <sz val="9"/>
        <rFont val="微软雅黑"/>
        <charset val="134"/>
      </rPr>
      <t>/</t>
    </r>
    <r>
      <rPr>
        <sz val="9"/>
        <rFont val="Noto Sans CJK SC"/>
        <charset val="134"/>
      </rPr>
      <t>支付订单数</t>
    </r>
    <r>
      <rPr>
        <sz val="9"/>
        <rFont val="微软雅黑"/>
        <charset val="134"/>
      </rPr>
      <t>/PV/UV/</t>
    </r>
    <r>
      <rPr>
        <sz val="9"/>
        <rFont val="Noto Sans CJK SC"/>
        <charset val="134"/>
      </rPr>
      <t>转化率</t>
    </r>
    <r>
      <rPr>
        <sz val="9"/>
        <rFont val="微软雅黑"/>
        <charset val="134"/>
      </rPr>
      <t>/</t>
    </r>
    <r>
      <rPr>
        <sz val="9"/>
        <rFont val="Noto Sans CJK SC"/>
        <charset val="134"/>
      </rPr>
      <t>客单价</t>
    </r>
    <r>
      <rPr>
        <sz val="9"/>
        <rFont val="微软雅黑"/>
        <charset val="134"/>
      </rPr>
      <t>/</t>
    </r>
    <r>
      <rPr>
        <sz val="9"/>
        <rFont val="Noto Sans CJK SC"/>
        <charset val="134"/>
      </rPr>
      <t xml:space="preserve">退款率，每个指标对比昨日同时段环比
</t>
    </r>
    <r>
      <rPr>
        <sz val="9"/>
        <rFont val="微软雅黑"/>
        <charset val="134"/>
      </rPr>
      <t>2.</t>
    </r>
    <r>
      <rPr>
        <sz val="9"/>
        <rFont val="Noto Sans CJK SC"/>
        <charset val="134"/>
      </rPr>
      <t>累计数据区：累计用户</t>
    </r>
    <r>
      <rPr>
        <sz val="9"/>
        <rFont val="微软雅黑"/>
        <charset val="134"/>
      </rPr>
      <t>/</t>
    </r>
    <r>
      <rPr>
        <sz val="9"/>
        <rFont val="Noto Sans CJK SC"/>
        <charset val="134"/>
      </rPr>
      <t>订单</t>
    </r>
    <r>
      <rPr>
        <sz val="9"/>
        <rFont val="微软雅黑"/>
        <charset val="134"/>
      </rPr>
      <t>/</t>
    </r>
    <r>
      <rPr>
        <sz val="9"/>
        <rFont val="Noto Sans CJK SC"/>
        <charset val="134"/>
      </rPr>
      <t>交易金额</t>
    </r>
    <r>
      <rPr>
        <sz val="9"/>
        <rFont val="微软雅黑"/>
        <charset val="134"/>
      </rPr>
      <t>/</t>
    </r>
    <r>
      <rPr>
        <sz val="9"/>
        <rFont val="Noto Sans CJK SC"/>
        <charset val="134"/>
      </rPr>
      <t>优惠券</t>
    </r>
    <r>
      <rPr>
        <sz val="9"/>
        <rFont val="微软雅黑"/>
        <charset val="134"/>
      </rPr>
      <t>/</t>
    </r>
    <r>
      <rPr>
        <sz val="9"/>
        <rFont val="Noto Sans CJK SC"/>
        <charset val="134"/>
      </rPr>
      <t xml:space="preserve">积分数据
</t>
    </r>
    <r>
      <rPr>
        <sz val="9"/>
        <rFont val="微软雅黑"/>
        <charset val="134"/>
      </rPr>
      <t>3.</t>
    </r>
    <r>
      <rPr>
        <sz val="9"/>
        <rFont val="Noto Sans CJK SC"/>
        <charset val="134"/>
      </rPr>
      <t>趋势图（</t>
    </r>
    <r>
      <rPr>
        <sz val="9"/>
        <rFont val="微软雅黑"/>
        <charset val="134"/>
      </rPr>
      <t>ECharts</t>
    </r>
    <r>
      <rPr>
        <sz val="9"/>
        <rFont val="Noto Sans CJK SC"/>
        <charset val="134"/>
      </rPr>
      <t>）：用户趋势（双折线新增</t>
    </r>
    <r>
      <rPr>
        <sz val="9"/>
        <rFont val="微软雅黑"/>
        <charset val="134"/>
      </rPr>
      <t>+</t>
    </r>
    <r>
      <rPr>
        <sz val="9"/>
        <rFont val="Noto Sans CJK SC"/>
        <charset val="134"/>
      </rPr>
      <t>活跃）</t>
    </r>
    <r>
      <rPr>
        <sz val="9"/>
        <rFont val="微软雅黑"/>
        <charset val="134"/>
      </rPr>
      <t>/</t>
    </r>
    <r>
      <rPr>
        <sz val="9"/>
        <rFont val="Noto Sans CJK SC"/>
        <charset val="134"/>
      </rPr>
      <t>订单趋势（订单数</t>
    </r>
    <r>
      <rPr>
        <sz val="9"/>
        <rFont val="微软雅黑"/>
        <charset val="134"/>
      </rPr>
      <t>+</t>
    </r>
    <r>
      <rPr>
        <sz val="9"/>
        <rFont val="Noto Sans CJK SC"/>
        <charset val="134"/>
      </rPr>
      <t>金额双</t>
    </r>
    <r>
      <rPr>
        <sz val="9"/>
        <rFont val="微软雅黑"/>
        <charset val="134"/>
      </rPr>
      <t>Y</t>
    </r>
    <r>
      <rPr>
        <sz val="9"/>
        <rFont val="Noto Sans CJK SC"/>
        <charset val="134"/>
      </rPr>
      <t>轴）</t>
    </r>
    <r>
      <rPr>
        <sz val="9"/>
        <rFont val="微软雅黑"/>
        <charset val="134"/>
      </rPr>
      <t>/</t>
    </r>
    <r>
      <rPr>
        <sz val="9"/>
        <rFont val="Noto Sans CJK SC"/>
        <charset val="134"/>
      </rPr>
      <t>流量趋势（</t>
    </r>
    <r>
      <rPr>
        <sz val="9"/>
        <rFont val="微软雅黑"/>
        <charset val="134"/>
      </rPr>
      <t>PV+UV</t>
    </r>
    <r>
      <rPr>
        <sz val="9"/>
        <rFont val="Noto Sans CJK SC"/>
        <charset val="134"/>
      </rPr>
      <t>双折线），支持近</t>
    </r>
    <r>
      <rPr>
        <sz val="9"/>
        <rFont val="微软雅黑"/>
        <charset val="134"/>
      </rPr>
      <t>7</t>
    </r>
    <r>
      <rPr>
        <sz val="9"/>
        <rFont val="Noto Sans CJK SC"/>
        <charset val="134"/>
      </rPr>
      <t>天</t>
    </r>
    <r>
      <rPr>
        <sz val="9"/>
        <rFont val="微软雅黑"/>
        <charset val="134"/>
      </rPr>
      <t>/</t>
    </r>
    <r>
      <rPr>
        <sz val="9"/>
        <rFont val="Noto Sans CJK SC"/>
        <charset val="134"/>
      </rPr>
      <t>近</t>
    </r>
    <r>
      <rPr>
        <sz val="9"/>
        <rFont val="微软雅黑"/>
        <charset val="134"/>
      </rPr>
      <t>30</t>
    </r>
    <r>
      <rPr>
        <sz val="9"/>
        <rFont val="Noto Sans CJK SC"/>
        <charset val="134"/>
      </rPr>
      <t xml:space="preserve">天切换
</t>
    </r>
    <r>
      <rPr>
        <sz val="9"/>
        <rFont val="微软雅黑"/>
        <charset val="134"/>
      </rPr>
      <t>4.</t>
    </r>
    <r>
      <rPr>
        <sz val="9"/>
        <rFont val="Noto Sans CJK SC"/>
        <charset val="134"/>
      </rPr>
      <t>数据机制：今日实时数据读</t>
    </r>
    <r>
      <rPr>
        <sz val="9"/>
        <rFont val="微软雅黑"/>
        <charset val="134"/>
      </rPr>
      <t>Redis</t>
    </r>
    <r>
      <rPr>
        <sz val="9"/>
        <rFont val="Noto Sans CJK SC"/>
        <charset val="134"/>
      </rPr>
      <t>（</t>
    </r>
    <r>
      <rPr>
        <sz val="9"/>
        <rFont val="微软雅黑"/>
        <charset val="134"/>
      </rPr>
      <t>key=stat:{date}:{metric}</t>
    </r>
    <r>
      <rPr>
        <sz val="9"/>
        <rFont val="Noto Sans CJK SC"/>
        <charset val="134"/>
      </rPr>
      <t>，每天</t>
    </r>
    <r>
      <rPr>
        <sz val="9"/>
        <rFont val="微软雅黑"/>
        <charset val="134"/>
      </rPr>
      <t>0</t>
    </r>
    <r>
      <rPr>
        <sz val="9"/>
        <rFont val="Noto Sans CJK SC"/>
        <charset val="134"/>
      </rPr>
      <t>点重置）；历史趋势数据读</t>
    </r>
    <r>
      <rPr>
        <sz val="9"/>
        <rFont val="微软雅黑"/>
        <charset val="134"/>
      </rPr>
      <t>MySQL</t>
    </r>
    <r>
      <rPr>
        <sz val="9"/>
        <rFont val="Noto Sans CJK SC"/>
        <charset val="134"/>
      </rPr>
      <t>（</t>
    </r>
    <r>
      <rPr>
        <sz val="9"/>
        <rFont val="微软雅黑"/>
        <charset val="134"/>
      </rPr>
      <t>stat_daily_overview</t>
    </r>
    <r>
      <rPr>
        <sz val="9"/>
        <rFont val="Noto Sans CJK SC"/>
        <charset val="134"/>
      </rPr>
      <t>，每天凌晨</t>
    </r>
    <r>
      <rPr>
        <sz val="9"/>
        <rFont val="微软雅黑"/>
        <charset val="134"/>
      </rPr>
      <t>3</t>
    </r>
    <r>
      <rPr>
        <sz val="9"/>
        <rFont val="Noto Sans CJK SC"/>
        <charset val="134"/>
      </rPr>
      <t>点</t>
    </r>
    <r>
      <rPr>
        <sz val="9"/>
        <rFont val="微软雅黑"/>
        <charset val="134"/>
      </rPr>
      <t>T+1</t>
    </r>
    <r>
      <rPr>
        <sz val="9"/>
        <rFont val="Noto Sans CJK SC"/>
        <charset val="134"/>
      </rPr>
      <t xml:space="preserve">汇总）
</t>
    </r>
    <r>
      <rPr>
        <sz val="9"/>
        <rFont val="微软雅黑"/>
        <charset val="134"/>
      </rPr>
      <t>5.</t>
    </r>
    <r>
      <rPr>
        <sz val="9"/>
        <rFont val="Noto Sans CJK SC"/>
        <charset val="134"/>
      </rPr>
      <t>统计数据每天凌晨</t>
    </r>
    <r>
      <rPr>
        <sz val="9"/>
        <rFont val="微软雅黑"/>
        <charset val="134"/>
      </rPr>
      <t>3:00</t>
    </r>
    <r>
      <rPr>
        <sz val="9"/>
        <rFont val="Noto Sans CJK SC"/>
        <charset val="134"/>
      </rPr>
      <t>由定时任务从</t>
    </r>
    <r>
      <rPr>
        <sz val="9"/>
        <rFont val="微软雅黑"/>
        <charset val="134"/>
      </rPr>
      <t>Redis</t>
    </r>
    <r>
      <rPr>
        <sz val="9"/>
        <rFont val="Noto Sans CJK SC"/>
        <charset val="134"/>
      </rPr>
      <t>汇总写入</t>
    </r>
    <r>
      <rPr>
        <sz val="9"/>
        <rFont val="微软雅黑"/>
        <charset val="134"/>
      </rPr>
      <t>MySQL</t>
    </r>
    <r>
      <rPr>
        <sz val="9"/>
        <rFont val="Noto Sans CJK SC"/>
        <charset val="134"/>
      </rPr>
      <t>，确保历史数据完整</t>
    </r>
  </si>
  <si>
    <r>
      <rPr>
        <sz val="9"/>
        <rFont val="微软雅黑"/>
        <charset val="134"/>
      </rPr>
      <t>Redis</t>
    </r>
    <r>
      <rPr>
        <sz val="9"/>
        <rFont val="Noto Sans CJK SC"/>
        <charset val="134"/>
      </rPr>
      <t>实时计数；</t>
    </r>
    <r>
      <rPr>
        <sz val="9"/>
        <rFont val="微软雅黑"/>
        <charset val="134"/>
      </rPr>
      <t>HyperLogLog</t>
    </r>
    <r>
      <rPr>
        <sz val="9"/>
        <rFont val="Noto Sans CJK SC"/>
        <charset val="134"/>
      </rPr>
      <t>统计</t>
    </r>
    <r>
      <rPr>
        <sz val="9"/>
        <rFont val="微软雅黑"/>
        <charset val="134"/>
      </rPr>
      <t>UV</t>
    </r>
    <r>
      <rPr>
        <sz val="9"/>
        <rFont val="Noto Sans CJK SC"/>
        <charset val="134"/>
      </rPr>
      <t>；</t>
    </r>
    <r>
      <rPr>
        <sz val="9"/>
        <rFont val="微软雅黑"/>
        <charset val="134"/>
      </rPr>
      <t>WebSocket/</t>
    </r>
    <r>
      <rPr>
        <sz val="9"/>
        <rFont val="Noto Sans CJK SC"/>
        <charset val="134"/>
      </rPr>
      <t>轮询</t>
    </r>
    <r>
      <rPr>
        <sz val="9"/>
        <rFont val="微软雅黑"/>
        <charset val="134"/>
      </rPr>
      <t>5</t>
    </r>
    <r>
      <rPr>
        <sz val="9"/>
        <rFont val="Noto Sans CJK SC"/>
        <charset val="134"/>
      </rPr>
      <t>分钟刷新；</t>
    </r>
    <r>
      <rPr>
        <sz val="9"/>
        <rFont val="微软雅黑"/>
        <charset val="134"/>
      </rPr>
      <t>ECharts</t>
    </r>
    <r>
      <rPr>
        <sz val="9"/>
        <rFont val="Noto Sans CJK SC"/>
        <charset val="134"/>
      </rPr>
      <t>多图表</t>
    </r>
  </si>
  <si>
    <t>访问统计</t>
  </si>
  <si>
    <r>
      <rPr>
        <sz val="9"/>
        <rFont val="微软雅黑"/>
        <charset val="134"/>
      </rPr>
      <t>1.C</t>
    </r>
    <r>
      <rPr>
        <sz val="9"/>
        <rFont val="Noto Sans CJK SC"/>
        <charset val="134"/>
      </rPr>
      <t>端埋点：页面访问上报（</t>
    </r>
    <r>
      <rPr>
        <sz val="9"/>
        <rFont val="微软雅黑"/>
        <charset val="134"/>
      </rPr>
      <t>page_url/user_id/session_id/</t>
    </r>
    <r>
      <rPr>
        <sz val="9"/>
        <rFont val="Noto Sans CJK SC"/>
        <charset val="134"/>
      </rPr>
      <t>来源渠道</t>
    </r>
    <r>
      <rPr>
        <sz val="9"/>
        <rFont val="微软雅黑"/>
        <charset val="134"/>
      </rPr>
      <t>/</t>
    </r>
    <r>
      <rPr>
        <sz val="9"/>
        <rFont val="Noto Sans CJK SC"/>
        <charset val="134"/>
      </rPr>
      <t>设备类型</t>
    </r>
    <r>
      <rPr>
        <sz val="9"/>
        <rFont val="微软雅黑"/>
        <charset val="134"/>
      </rPr>
      <t>/OS/</t>
    </r>
    <r>
      <rPr>
        <sz val="9"/>
        <rFont val="Noto Sans CJK SC"/>
        <charset val="134"/>
      </rPr>
      <t>省市）→写入</t>
    </r>
    <r>
      <rPr>
        <sz val="9"/>
        <rFont val="微软雅黑"/>
        <charset val="134"/>
      </rPr>
      <t>stat_page_visit_log
2.PV/UV</t>
    </r>
    <r>
      <rPr>
        <sz val="9"/>
        <rFont val="Noto Sans CJK SC"/>
        <charset val="134"/>
      </rPr>
      <t>趋势折线图（按天，支持日期范围筛选），</t>
    </r>
    <r>
      <rPr>
        <sz val="9"/>
        <rFont val="微软雅黑"/>
        <charset val="134"/>
      </rPr>
      <t>UV</t>
    </r>
    <r>
      <rPr>
        <sz val="9"/>
        <rFont val="Noto Sans CJK SC"/>
        <charset val="134"/>
      </rPr>
      <t>使用</t>
    </r>
    <r>
      <rPr>
        <sz val="9"/>
        <rFont val="微软雅黑"/>
        <charset val="134"/>
      </rPr>
      <t>Redis HyperLogLog</t>
    </r>
    <r>
      <rPr>
        <sz val="9"/>
        <rFont val="Noto Sans CJK SC"/>
        <charset val="134"/>
      </rPr>
      <t>统计（误差</t>
    </r>
    <r>
      <rPr>
        <sz val="9"/>
        <rFont val="微软雅黑"/>
        <charset val="134"/>
      </rPr>
      <t>&lt;1%</t>
    </r>
    <r>
      <rPr>
        <sz val="9"/>
        <rFont val="Noto Sans CJK SC"/>
        <charset val="134"/>
      </rPr>
      <t xml:space="preserve">）
</t>
    </r>
    <r>
      <rPr>
        <sz val="9"/>
        <rFont val="微软雅黑"/>
        <charset val="134"/>
      </rPr>
      <t>3.</t>
    </r>
    <r>
      <rPr>
        <sz val="9"/>
        <rFont val="Noto Sans CJK SC"/>
        <charset val="134"/>
      </rPr>
      <t>热门页面排行</t>
    </r>
    <r>
      <rPr>
        <sz val="9"/>
        <rFont val="微软雅黑"/>
        <charset val="134"/>
      </rPr>
      <t>Top20</t>
    </r>
    <r>
      <rPr>
        <sz val="9"/>
        <rFont val="Noto Sans CJK SC"/>
        <charset val="134"/>
      </rPr>
      <t>：页面名称</t>
    </r>
    <r>
      <rPr>
        <sz val="9"/>
        <rFont val="微软雅黑"/>
        <charset val="134"/>
      </rPr>
      <t>/PV/UV/</t>
    </r>
    <r>
      <rPr>
        <sz val="9"/>
        <rFont val="Noto Sans CJK SC"/>
        <charset val="134"/>
      </rPr>
      <t xml:space="preserve">平均停留时长（表格，可点击表头排序）
</t>
    </r>
    <r>
      <rPr>
        <sz val="9"/>
        <rFont val="微软雅黑"/>
        <charset val="134"/>
      </rPr>
      <t>4.</t>
    </r>
    <r>
      <rPr>
        <sz val="9"/>
        <rFont val="Noto Sans CJK SC"/>
        <charset val="134"/>
      </rPr>
      <t>设备类型分布饼图（</t>
    </r>
    <r>
      <rPr>
        <sz val="9"/>
        <rFont val="微软雅黑"/>
        <charset val="134"/>
      </rPr>
      <t>PC/</t>
    </r>
    <r>
      <rPr>
        <sz val="9"/>
        <rFont val="Noto Sans CJK SC"/>
        <charset val="134"/>
      </rPr>
      <t>手机</t>
    </r>
    <r>
      <rPr>
        <sz val="9"/>
        <rFont val="微软雅黑"/>
        <charset val="134"/>
      </rPr>
      <t>/</t>
    </r>
    <r>
      <rPr>
        <sz val="9"/>
        <rFont val="Noto Sans CJK SC"/>
        <charset val="134"/>
      </rPr>
      <t xml:space="preserve">平板）
</t>
    </r>
    <r>
      <rPr>
        <sz val="9"/>
        <rFont val="微软雅黑"/>
        <charset val="134"/>
      </rPr>
      <t>5.</t>
    </r>
    <r>
      <rPr>
        <sz val="9"/>
        <rFont val="Noto Sans CJK SC"/>
        <charset val="134"/>
      </rPr>
      <t xml:space="preserve">地域分布：中国地图热力图 </t>
    </r>
    <r>
      <rPr>
        <sz val="9"/>
        <rFont val="微软雅黑"/>
        <charset val="134"/>
      </rPr>
      <t>+ Top10</t>
    </r>
    <r>
      <rPr>
        <sz val="9"/>
        <rFont val="Noto Sans CJK SC"/>
        <charset val="134"/>
      </rPr>
      <t xml:space="preserve">省份列表
</t>
    </r>
    <r>
      <rPr>
        <sz val="9"/>
        <rFont val="微软雅黑"/>
        <charset val="134"/>
      </rPr>
      <t>6.</t>
    </r>
    <r>
      <rPr>
        <sz val="9"/>
        <rFont val="Noto Sans CJK SC"/>
        <charset val="134"/>
      </rPr>
      <t>来源渠道分析饼图（直接访问</t>
    </r>
    <r>
      <rPr>
        <sz val="9"/>
        <rFont val="微软雅黑"/>
        <charset val="134"/>
      </rPr>
      <t>/</t>
    </r>
    <r>
      <rPr>
        <sz val="9"/>
        <rFont val="Noto Sans CJK SC"/>
        <charset val="134"/>
      </rPr>
      <t>微信分享</t>
    </r>
    <r>
      <rPr>
        <sz val="9"/>
        <rFont val="微软雅黑"/>
        <charset val="134"/>
      </rPr>
      <t>/</t>
    </r>
    <r>
      <rPr>
        <sz val="9"/>
        <rFont val="Noto Sans CJK SC"/>
        <charset val="134"/>
      </rPr>
      <t>短信</t>
    </r>
    <r>
      <rPr>
        <sz val="9"/>
        <rFont val="微软雅黑"/>
        <charset val="134"/>
      </rPr>
      <t>/</t>
    </r>
    <r>
      <rPr>
        <sz val="9"/>
        <rFont val="Noto Sans CJK SC"/>
        <charset val="134"/>
      </rPr>
      <t>推送等）</t>
    </r>
  </si>
  <si>
    <t>埋点数据采集；Redis HyperLogLog UV统计；ECharts地图组件</t>
  </si>
  <si>
    <t>转化漏斗</t>
  </si>
  <si>
    <r>
      <rPr>
        <sz val="9"/>
        <rFont val="微软雅黑"/>
        <charset val="134"/>
      </rPr>
      <t>1.</t>
    </r>
    <r>
      <rPr>
        <sz val="9"/>
        <rFont val="Noto Sans CJK SC"/>
        <charset val="134"/>
      </rPr>
      <t>固定</t>
    </r>
    <r>
      <rPr>
        <sz val="9"/>
        <rFont val="微软雅黑"/>
        <charset val="134"/>
      </rPr>
      <t>5</t>
    </r>
    <r>
      <rPr>
        <sz val="9"/>
        <rFont val="Noto Sans CJK SC"/>
        <charset val="134"/>
      </rPr>
      <t xml:space="preserve">步购买转化漏斗：访问首页→浏览产品→加入购物车→提交订单→完成支付
</t>
    </r>
    <r>
      <rPr>
        <sz val="9"/>
        <rFont val="微软雅黑"/>
        <charset val="134"/>
      </rPr>
      <t>2.ECharts</t>
    </r>
    <r>
      <rPr>
        <sz val="9"/>
        <rFont val="Noto Sans CJK SC"/>
        <charset val="134"/>
      </rPr>
      <t>漏斗图：每步展示用户数</t>
    </r>
    <r>
      <rPr>
        <sz val="9"/>
        <rFont val="微软雅黑"/>
        <charset val="134"/>
      </rPr>
      <t>/</t>
    </r>
    <r>
      <rPr>
        <sz val="9"/>
        <rFont val="Noto Sans CJK SC"/>
        <charset val="134"/>
      </rPr>
      <t>相对上一步转化率</t>
    </r>
    <r>
      <rPr>
        <sz val="9"/>
        <rFont val="微软雅黑"/>
        <charset val="134"/>
      </rPr>
      <t>/</t>
    </r>
    <r>
      <rPr>
        <sz val="9"/>
        <rFont val="Noto Sans CJK SC"/>
        <charset val="134"/>
      </rPr>
      <t xml:space="preserve">相对首步整体转化率
</t>
    </r>
    <r>
      <rPr>
        <sz val="9"/>
        <rFont val="微软雅黑"/>
        <charset val="134"/>
      </rPr>
      <t>3.</t>
    </r>
    <r>
      <rPr>
        <sz val="9"/>
        <rFont val="Noto Sans CJK SC"/>
        <charset val="134"/>
      </rPr>
      <t xml:space="preserve">支持日期范围筛选
</t>
    </r>
    <r>
      <rPr>
        <sz val="9"/>
        <rFont val="微软雅黑"/>
        <charset val="134"/>
      </rPr>
      <t>4.</t>
    </r>
    <r>
      <rPr>
        <sz val="9"/>
        <rFont val="Noto Sans CJK SC"/>
        <charset val="134"/>
      </rPr>
      <t xml:space="preserve">支持两个时间段对比（并排显示或差值显示），高亮环比变化
</t>
    </r>
    <r>
      <rPr>
        <sz val="9"/>
        <rFont val="微软雅黑"/>
        <charset val="134"/>
      </rPr>
      <t>5.</t>
    </r>
    <r>
      <rPr>
        <sz val="9"/>
        <rFont val="Noto Sans CJK SC"/>
        <charset val="134"/>
      </rPr>
      <t>漏斗数据来源：埋点日志</t>
    </r>
    <r>
      <rPr>
        <sz val="9"/>
        <rFont val="微软雅黑"/>
        <charset val="134"/>
      </rPr>
      <t>+</t>
    </r>
    <r>
      <rPr>
        <sz val="9"/>
        <rFont val="Noto Sans CJK SC"/>
        <charset val="134"/>
      </rPr>
      <t>订单表，定时任务每天凌晨</t>
    </r>
    <r>
      <rPr>
        <sz val="9"/>
        <rFont val="微软雅黑"/>
        <charset val="134"/>
      </rPr>
      <t>3</t>
    </r>
    <r>
      <rPr>
        <sz val="9"/>
        <rFont val="Noto Sans CJK SC"/>
        <charset val="134"/>
      </rPr>
      <t>点计算写入</t>
    </r>
    <r>
      <rPr>
        <sz val="9"/>
        <rFont val="微软雅黑"/>
        <charset val="134"/>
      </rPr>
      <t>stat_funnel_daily</t>
    </r>
    <r>
      <rPr>
        <sz val="9"/>
        <rFont val="Noto Sans CJK SC"/>
        <charset val="134"/>
      </rPr>
      <t xml:space="preserve">表
</t>
    </r>
    <r>
      <rPr>
        <sz val="9"/>
        <rFont val="微软雅黑"/>
        <charset val="134"/>
      </rPr>
      <t>6.</t>
    </r>
    <r>
      <rPr>
        <sz val="9"/>
        <rFont val="Noto Sans CJK SC"/>
        <charset val="134"/>
      </rPr>
      <t>注册转化漏斗（次要功能）：访问注册页→填写信息→验证手机→完成注册</t>
    </r>
  </si>
  <si>
    <r>
      <rPr>
        <sz val="9"/>
        <rFont val="微软雅黑"/>
        <charset val="134"/>
      </rPr>
      <t>ECharts</t>
    </r>
    <r>
      <rPr>
        <sz val="9"/>
        <rFont val="Noto Sans CJK SC"/>
        <charset val="134"/>
      </rPr>
      <t>漏斗图；多步骤数据聚合；时间段对比计算</t>
    </r>
  </si>
  <si>
    <t>销售统计</t>
  </si>
  <si>
    <r>
      <rPr>
        <sz val="9"/>
        <rFont val="微软雅黑"/>
        <charset val="134"/>
      </rPr>
      <t>1.</t>
    </r>
    <r>
      <rPr>
        <sz val="9"/>
        <rFont val="Noto Sans CJK SC"/>
        <charset val="134"/>
      </rPr>
      <t>核心指标卡：保费总额</t>
    </r>
    <r>
      <rPr>
        <sz val="9"/>
        <rFont val="微软雅黑"/>
        <charset val="134"/>
      </rPr>
      <t>/</t>
    </r>
    <r>
      <rPr>
        <sz val="9"/>
        <rFont val="Noto Sans CJK SC"/>
        <charset val="134"/>
      </rPr>
      <t>订单总数</t>
    </r>
    <r>
      <rPr>
        <sz val="9"/>
        <rFont val="微软雅黑"/>
        <charset val="134"/>
      </rPr>
      <t>/</t>
    </r>
    <r>
      <rPr>
        <sz val="9"/>
        <rFont val="Noto Sans CJK SC"/>
        <charset val="134"/>
      </rPr>
      <t>支付转化率</t>
    </r>
    <r>
      <rPr>
        <sz val="9"/>
        <rFont val="微软雅黑"/>
        <charset val="134"/>
      </rPr>
      <t>/</t>
    </r>
    <r>
      <rPr>
        <sz val="9"/>
        <rFont val="Noto Sans CJK SC"/>
        <charset val="134"/>
      </rPr>
      <t>客单价</t>
    </r>
    <r>
      <rPr>
        <sz val="9"/>
        <rFont val="微软雅黑"/>
        <charset val="134"/>
      </rPr>
      <t>/</t>
    </r>
    <r>
      <rPr>
        <sz val="9"/>
        <rFont val="Noto Sans CJK SC"/>
        <charset val="134"/>
      </rPr>
      <t>退款金额</t>
    </r>
    <r>
      <rPr>
        <sz val="9"/>
        <rFont val="微软雅黑"/>
        <charset val="134"/>
      </rPr>
      <t>/</t>
    </r>
    <r>
      <rPr>
        <sz val="9"/>
        <rFont val="Noto Sans CJK SC"/>
        <charset val="134"/>
      </rPr>
      <t xml:space="preserve">退款率
</t>
    </r>
    <r>
      <rPr>
        <sz val="9"/>
        <rFont val="微软雅黑"/>
        <charset val="134"/>
      </rPr>
      <t>2.</t>
    </r>
    <r>
      <rPr>
        <sz val="9"/>
        <rFont val="Noto Sans CJK SC"/>
        <charset val="134"/>
      </rPr>
      <t>销售趋势折线图：订单数</t>
    </r>
    <r>
      <rPr>
        <sz val="9"/>
        <rFont val="微软雅黑"/>
        <charset val="134"/>
      </rPr>
      <t>+</t>
    </r>
    <r>
      <rPr>
        <sz val="9"/>
        <rFont val="Noto Sans CJK SC"/>
        <charset val="134"/>
      </rPr>
      <t>支付金额双折线，支持日</t>
    </r>
    <r>
      <rPr>
        <sz val="9"/>
        <rFont val="微软雅黑"/>
        <charset val="134"/>
      </rPr>
      <t>/</t>
    </r>
    <r>
      <rPr>
        <sz val="9"/>
        <rFont val="Noto Sans CJK SC"/>
        <charset val="134"/>
      </rPr>
      <t>周</t>
    </r>
    <r>
      <rPr>
        <sz val="9"/>
        <rFont val="微软雅黑"/>
        <charset val="134"/>
      </rPr>
      <t>/</t>
    </r>
    <r>
      <rPr>
        <sz val="9"/>
        <rFont val="Noto Sans CJK SC"/>
        <charset val="134"/>
      </rPr>
      <t xml:space="preserve">月维度切换
</t>
    </r>
    <r>
      <rPr>
        <sz val="9"/>
        <rFont val="微软雅黑"/>
        <charset val="134"/>
      </rPr>
      <t>3.</t>
    </r>
    <r>
      <rPr>
        <sz val="9"/>
        <rFont val="Noto Sans CJK SC"/>
        <charset val="134"/>
      </rPr>
      <t>产品销量排行表（</t>
    </r>
    <r>
      <rPr>
        <sz val="9"/>
        <rFont val="微软雅黑"/>
        <charset val="134"/>
      </rPr>
      <t>Top50</t>
    </r>
    <r>
      <rPr>
        <sz val="9"/>
        <rFont val="Noto Sans CJK SC"/>
        <charset val="134"/>
      </rPr>
      <t>）：产品名称</t>
    </r>
    <r>
      <rPr>
        <sz val="9"/>
        <rFont val="微软雅黑"/>
        <charset val="134"/>
      </rPr>
      <t>/</t>
    </r>
    <r>
      <rPr>
        <sz val="9"/>
        <rFont val="Noto Sans CJK SC"/>
        <charset val="134"/>
      </rPr>
      <t>分类</t>
    </r>
    <r>
      <rPr>
        <sz val="9"/>
        <rFont val="微软雅黑"/>
        <charset val="134"/>
      </rPr>
      <t>/</t>
    </r>
    <r>
      <rPr>
        <sz val="9"/>
        <rFont val="Noto Sans CJK SC"/>
        <charset val="134"/>
      </rPr>
      <t>浏览量</t>
    </r>
    <r>
      <rPr>
        <sz val="9"/>
        <rFont val="微软雅黑"/>
        <charset val="134"/>
      </rPr>
      <t>/</t>
    </r>
    <r>
      <rPr>
        <sz val="9"/>
        <rFont val="Noto Sans CJK SC"/>
        <charset val="134"/>
      </rPr>
      <t>加购量</t>
    </r>
    <r>
      <rPr>
        <sz val="9"/>
        <rFont val="微软雅黑"/>
        <charset val="134"/>
      </rPr>
      <t>/</t>
    </r>
    <r>
      <rPr>
        <sz val="9"/>
        <rFont val="Noto Sans CJK SC"/>
        <charset val="134"/>
      </rPr>
      <t>成单量</t>
    </r>
    <r>
      <rPr>
        <sz val="9"/>
        <rFont val="微软雅黑"/>
        <charset val="134"/>
      </rPr>
      <t>/</t>
    </r>
    <r>
      <rPr>
        <sz val="9"/>
        <rFont val="Noto Sans CJK SC"/>
        <charset val="134"/>
      </rPr>
      <t>支付金额</t>
    </r>
    <r>
      <rPr>
        <sz val="9"/>
        <rFont val="微软雅黑"/>
        <charset val="134"/>
      </rPr>
      <t>/</t>
    </r>
    <r>
      <rPr>
        <sz val="9"/>
        <rFont val="Noto Sans CJK SC"/>
        <charset val="134"/>
      </rPr>
      <t xml:space="preserve">转化率，点击表头可排序
</t>
    </r>
    <r>
      <rPr>
        <sz val="9"/>
        <rFont val="微软雅黑"/>
        <charset val="134"/>
      </rPr>
      <t>4.</t>
    </r>
    <r>
      <rPr>
        <sz val="9"/>
        <rFont val="Noto Sans CJK SC"/>
        <charset val="134"/>
      </rPr>
      <t>产品分类分析：环形图（各分类保费占比）</t>
    </r>
    <r>
      <rPr>
        <sz val="9"/>
        <rFont val="微软雅黑"/>
        <charset val="134"/>
      </rPr>
      <t>+</t>
    </r>
    <r>
      <rPr>
        <sz val="9"/>
        <rFont val="Noto Sans CJK SC"/>
        <charset val="134"/>
      </rPr>
      <t xml:space="preserve">柱状图（各分类订单数对比）
</t>
    </r>
    <r>
      <rPr>
        <sz val="9"/>
        <rFont val="微软雅黑"/>
        <charset val="134"/>
      </rPr>
      <t>5.</t>
    </r>
    <r>
      <rPr>
        <sz val="9"/>
        <rFont val="Noto Sans CJK SC"/>
        <charset val="134"/>
      </rPr>
      <t>筛选：时间范围</t>
    </r>
    <r>
      <rPr>
        <sz val="9"/>
        <rFont val="微软雅黑"/>
        <charset val="134"/>
      </rPr>
      <t>/</t>
    </r>
    <r>
      <rPr>
        <sz val="9"/>
        <rFont val="Noto Sans CJK SC"/>
        <charset val="134"/>
      </rPr>
      <t>产品分类（多选）</t>
    </r>
    <r>
      <rPr>
        <sz val="9"/>
        <rFont val="微软雅黑"/>
        <charset val="134"/>
      </rPr>
      <t>/</t>
    </r>
    <r>
      <rPr>
        <sz val="9"/>
        <rFont val="Noto Sans CJK SC"/>
        <charset val="134"/>
      </rPr>
      <t xml:space="preserve">渠道（多选）
</t>
    </r>
    <r>
      <rPr>
        <sz val="9"/>
        <rFont val="微软雅黑"/>
        <charset val="134"/>
      </rPr>
      <t>6.</t>
    </r>
    <r>
      <rPr>
        <sz val="9"/>
        <rFont val="Noto Sans CJK SC"/>
        <charset val="134"/>
      </rPr>
      <t>数据来源：小时间段（</t>
    </r>
    <r>
      <rPr>
        <sz val="9"/>
        <rFont val="微软雅黑"/>
        <charset val="134"/>
      </rPr>
      <t>&lt;30</t>
    </r>
    <r>
      <rPr>
        <sz val="9"/>
        <rFont val="Noto Sans CJK SC"/>
        <charset val="134"/>
      </rPr>
      <t>天）实时聚合查询订单表；大范围（</t>
    </r>
    <r>
      <rPr>
        <sz val="9"/>
        <rFont val="微软雅黑"/>
        <charset val="134"/>
      </rPr>
      <t>&gt;=30</t>
    </r>
    <r>
      <rPr>
        <sz val="9"/>
        <rFont val="Noto Sans CJK SC"/>
        <charset val="134"/>
      </rPr>
      <t>天）读</t>
    </r>
    <r>
      <rPr>
        <sz val="9"/>
        <rFont val="微软雅黑"/>
        <charset val="134"/>
      </rPr>
      <t>stat_product_analysis</t>
    </r>
    <r>
      <rPr>
        <sz val="9"/>
        <rFont val="Noto Sans CJK SC"/>
        <charset val="134"/>
      </rPr>
      <t xml:space="preserve">汇总表
</t>
    </r>
    <r>
      <rPr>
        <sz val="9"/>
        <rFont val="微软雅黑"/>
        <charset val="134"/>
      </rPr>
      <t>7.</t>
    </r>
    <r>
      <rPr>
        <sz val="9"/>
        <rFont val="Noto Sans CJK SC"/>
        <charset val="134"/>
      </rPr>
      <t>支持导出</t>
    </r>
    <r>
      <rPr>
        <sz val="9"/>
        <rFont val="微软雅黑"/>
        <charset val="134"/>
      </rPr>
      <t>Excel</t>
    </r>
    <r>
      <rPr>
        <sz val="9"/>
        <rFont val="Noto Sans CJK SC"/>
        <charset val="134"/>
      </rPr>
      <t>（含明细</t>
    </r>
    <r>
      <rPr>
        <sz val="9"/>
        <rFont val="微软雅黑"/>
        <charset val="134"/>
      </rPr>
      <t>+</t>
    </r>
    <r>
      <rPr>
        <sz val="9"/>
        <rFont val="Noto Sans CJK SC"/>
        <charset val="134"/>
      </rPr>
      <t>汇总）</t>
    </r>
  </si>
  <si>
    <r>
      <rPr>
        <sz val="9"/>
        <rFont val="微软雅黑"/>
        <charset val="134"/>
      </rPr>
      <t>ECharts</t>
    </r>
    <r>
      <rPr>
        <sz val="9"/>
        <rFont val="Noto Sans CJK SC"/>
        <charset val="134"/>
      </rPr>
      <t>多图表；多维度数据聚合查询；汇总表与明细表双读策略；</t>
    </r>
    <r>
      <rPr>
        <sz val="9"/>
        <rFont val="微软雅黑"/>
        <charset val="134"/>
      </rPr>
      <t>Excel</t>
    </r>
    <r>
      <rPr>
        <sz val="9"/>
        <rFont val="Noto Sans CJK SC"/>
        <charset val="134"/>
      </rPr>
      <t>异步导出</t>
    </r>
  </si>
  <si>
    <t>培训管理</t>
  </si>
  <si>
    <t>培训立项</t>
  </si>
  <si>
    <t>培训管理员创建培训项目：字段包含项目名称/培训目标/适用对象（职级范围/机构范围）/类型（线上/线下/混合）/学时/起止日期/是否必修/项目状态；项目创建后可关联培训计划；对应App端"培训中心"课程来源，PC后台立项即可在App端展示（状态=进行中的项目）。对应操作手册223号条目。</t>
  </si>
  <si>
    <t>培训项目状态机；与App端培训中心数据联动</t>
  </si>
  <si>
    <t>培训计划管理</t>
  </si>
  <si>
    <t>为已立项的培训项目创建具体计划：字段含计划名/所属项目/培训讲师/培训地点（线下须填）/开始时间/结束时间/最大学员数/报名截止时间/课程清单（从课程库选择）；支持一个项目下多个计划期（如分期培训）；计划状态：草稿/报名中/进行中/已结束。对应操作手册224号条目。</t>
  </si>
  <si>
    <t>多期计划管理；与课程库关联；报名人数实时监控</t>
  </si>
  <si>
    <t>课程管理与讲师管理</t>
  </si>
  <si>
    <t>课程库CRUD：课程名/所属分类/课程类型（视频/文档/直播）/课程封面/课程内容（视频上传OSS/文档上传）/课时/适用职级/关键词/状态；视频课程支持分章节上传；课程被培训计划引用时不可删除。讲师库CRUD：讲师姓名/头像/简介/专业领域/所属机构/联系方式/讲师评分（从培训结果反馈汇总）。对应操作手册225-226号条目。</t>
  </si>
  <si>
    <t>视频上传OSS转码；章节管理；讲师评分聚合</t>
  </si>
  <si>
    <t>培训班管理与结果统计</t>
  </si>
  <si>
    <t>培训班（按期次）管理：查看报名学员名单/签到记录/学习进度（视频观看时长/文档阅读记录）；支持导出学员考勤表；线下培训支持扫码签到。培训结果统计：学员完成率/考试通过率/满意度评分（从课后问卷汇总）；按项目/讲师/机构维度出报表；未完成学员催学提醒（站内信）。对应操作手册227-228号条目。</t>
  </si>
  <si>
    <t>学习进度追踪；视频观看时长记录；扫码签到；结果聚合报表</t>
  </si>
  <si>
    <r>
      <rPr>
        <sz val="9"/>
        <rFont val="宋体"/>
        <charset val="134"/>
      </rPr>
      <t>1</t>
    </r>
    <r>
      <rPr>
        <sz val="9"/>
        <rFont val="Noto Sans CJK SC"/>
        <charset val="134"/>
      </rPr>
      <t>前端</t>
    </r>
    <r>
      <rPr>
        <sz val="9"/>
        <rFont val="宋体"/>
        <charset val="134"/>
      </rPr>
      <t>+1</t>
    </r>
    <r>
      <rPr>
        <sz val="9"/>
        <rFont val="Noto Sans CJK SC"/>
        <charset val="134"/>
      </rPr>
      <t>后端</t>
    </r>
  </si>
  <si>
    <t>营销素材</t>
  </si>
  <si>
    <t>海报模板</t>
  </si>
  <si>
    <t>节日、产品海报模板库</t>
  </si>
  <si>
    <r>
      <rPr>
        <sz val="11"/>
        <color theme="1"/>
        <rFont val="宋体"/>
        <charset val="134"/>
      </rPr>
      <t>Canvas</t>
    </r>
    <r>
      <rPr>
        <sz val="11"/>
        <color theme="1"/>
        <rFont val="Noto Sans CJK SC"/>
        <charset val="134"/>
      </rPr>
      <t>合成</t>
    </r>
  </si>
  <si>
    <t>海报生成</t>
  </si>
  <si>
    <t>生成带二维码的海报</t>
  </si>
  <si>
    <t>二维码生成，图片合成</t>
  </si>
  <si>
    <t>海报下载</t>
  </si>
  <si>
    <t>海报预览页点击"下载海报"，前端直接调系统API将poster_url图片保存到手机相册，无需后端接口。"我的海报"历史列表接口：查marketing_user_poster按create_time DESC，返回poster_url+模板名称。</t>
  </si>
  <si>
    <t>前端调系统saveImageToAlbum API</t>
  </si>
  <si>
    <t>文案库</t>
  </si>
  <si>
    <t>营销文案模板，列表支持关键词搜索(LIKE匹配title+content)+sceneType(朋友圈/短信/话术)Tab筛选，按sort+use_count排序。点击文案调用/use接口：查用户基本信息→替换占位符{name}/{phone}/{company}/{wechat}→异步use_count+1→返回替换后文案。前端"复制文案"按钮直接写剪贴板。</t>
  </si>
  <si>
    <r>
      <rPr>
        <sz val="11"/>
        <color theme="1"/>
        <rFont val="宋体"/>
        <charset val="134"/>
      </rPr>
      <t>LIKE</t>
    </r>
    <r>
      <rPr>
        <sz val="11"/>
        <color theme="1"/>
        <rFont val="Noto Sans CJK SC"/>
        <charset val="134"/>
      </rPr>
      <t>全文检索，占位符正则替换，</t>
    </r>
    <r>
      <rPr>
        <sz val="11"/>
        <color theme="1"/>
        <rFont val="宋体"/>
        <charset val="134"/>
      </rPr>
      <t>use_count</t>
    </r>
    <r>
      <rPr>
        <sz val="11"/>
        <color theme="1"/>
        <rFont val="Noto Sans CJK SC"/>
        <charset val="134"/>
      </rPr>
      <t>异步更新</t>
    </r>
  </si>
  <si>
    <t>短视频素材</t>
  </si>
  <si>
    <t>视频素材库，列表按分类Tab展示封面图+标题+时长（秒转mm:ss格式）+播放次数。点击进入播放页，调播放接口：play_count+1（异步），返回video_url。支持"转发给客户"（复制链接或唤起微信分享）和"保存到本地"。</t>
  </si>
  <si>
    <t>视频上传，转码。视频素材管理marketing_video_material，OSS视频存储</t>
  </si>
  <si>
    <t>朋友圈助手</t>
  </si>
  <si>
    <t>一键复制文案+图片。展示朋友圈素材列表（文案+配图组合），复用文案库scene_type=1，在marketing_copywriting增加attach_images JSON字段存最多9张图片URL。详情页展示完整文案和图片，"复制文案"调/use接口（含占位符替换），"保存图片到相册"前端逐张保存。</t>
  </si>
  <si>
    <t>copywriting表增加attach_images字段，唤起微信分享</t>
  </si>
  <si>
    <r>
      <rPr>
        <sz val="11"/>
        <color theme="1"/>
        <rFont val="Noto Sans CJK SC"/>
        <charset val="134"/>
      </rPr>
      <t>智能文案生成（</t>
    </r>
    <r>
      <rPr>
        <sz val="11"/>
        <color theme="1"/>
        <rFont val="宋体"/>
        <charset val="134"/>
      </rPr>
      <t>AI</t>
    </r>
    <r>
      <rPr>
        <sz val="11"/>
        <color theme="1"/>
        <rFont val="Noto Sans CJK SC"/>
        <charset val="134"/>
      </rPr>
      <t>）</t>
    </r>
  </si>
  <si>
    <r>
      <rPr>
        <sz val="11"/>
        <color theme="1"/>
        <rFont val="Noto Sans CJK SC"/>
        <charset val="134"/>
      </rPr>
      <t>接入</t>
    </r>
    <r>
      <rPr>
        <sz val="11"/>
        <color theme="1"/>
        <rFont val="宋体"/>
        <charset val="134"/>
      </rPr>
      <t>AI</t>
    </r>
    <r>
      <rPr>
        <sz val="11"/>
        <color theme="1"/>
        <rFont val="Noto Sans CJK SC"/>
        <charset val="134"/>
      </rPr>
      <t>大模型（复用阶段</t>
    </r>
    <r>
      <rPr>
        <sz val="11"/>
        <color theme="1"/>
        <rFont val="宋体"/>
        <charset val="134"/>
      </rPr>
      <t>4 ins-ai</t>
    </r>
    <r>
      <rPr>
        <sz val="11"/>
        <color theme="1"/>
        <rFont val="Noto Sans CJK SC"/>
        <charset val="134"/>
      </rPr>
      <t>模块）；业务员输入：</t>
    </r>
    <r>
      <rPr>
        <sz val="11"/>
        <color theme="1"/>
        <rFont val="宋体"/>
        <charset val="134"/>
      </rPr>
      <t>"</t>
    </r>
    <r>
      <rPr>
        <sz val="11"/>
        <color theme="1"/>
        <rFont val="Noto Sans CJK SC"/>
        <charset val="134"/>
      </rPr>
      <t>产品名称</t>
    </r>
    <r>
      <rPr>
        <sz val="11"/>
        <color theme="1"/>
        <rFont val="宋体"/>
        <charset val="134"/>
      </rPr>
      <t>+</t>
    </r>
    <r>
      <rPr>
        <sz val="11"/>
        <color theme="1"/>
        <rFont val="Noto Sans CJK SC"/>
        <charset val="134"/>
      </rPr>
      <t>目标客群</t>
    </r>
    <r>
      <rPr>
        <sz val="11"/>
        <color theme="1"/>
        <rFont val="宋体"/>
        <charset val="134"/>
      </rPr>
      <t>+</t>
    </r>
    <r>
      <rPr>
        <sz val="11"/>
        <color theme="1"/>
        <rFont val="Noto Sans CJK SC"/>
        <charset val="134"/>
      </rPr>
      <t>场景关键词</t>
    </r>
    <r>
      <rPr>
        <sz val="11"/>
        <color theme="1"/>
        <rFont val="宋体"/>
        <charset val="134"/>
      </rPr>
      <t>"</t>
    </r>
    <r>
      <rPr>
        <sz val="11"/>
        <color theme="1"/>
        <rFont val="Noto Sans CJK SC"/>
        <charset val="134"/>
      </rPr>
      <t>，</t>
    </r>
    <r>
      <rPr>
        <sz val="11"/>
        <color theme="1"/>
        <rFont val="宋体"/>
        <charset val="134"/>
      </rPr>
      <t>AI</t>
    </r>
    <r>
      <rPr>
        <sz val="11"/>
        <color theme="1"/>
        <rFont val="Noto Sans CJK SC"/>
        <charset val="134"/>
      </rPr>
      <t>生成</t>
    </r>
    <r>
      <rPr>
        <sz val="11"/>
        <color theme="1"/>
        <rFont val="宋体"/>
        <charset val="134"/>
      </rPr>
      <t>3</t>
    </r>
    <r>
      <rPr>
        <sz val="11"/>
        <color theme="1"/>
        <rFont val="Noto Sans CJK SC"/>
        <charset val="134"/>
      </rPr>
      <t>条营销文案备选（朋友圈</t>
    </r>
    <r>
      <rPr>
        <sz val="11"/>
        <color theme="1"/>
        <rFont val="宋体"/>
        <charset val="134"/>
      </rPr>
      <t>/</t>
    </r>
    <r>
      <rPr>
        <sz val="11"/>
        <color theme="1"/>
        <rFont val="Noto Sans CJK SC"/>
        <charset val="134"/>
      </rPr>
      <t>短信</t>
    </r>
    <r>
      <rPr>
        <sz val="11"/>
        <color theme="1"/>
        <rFont val="宋体"/>
        <charset val="134"/>
      </rPr>
      <t>/</t>
    </r>
    <r>
      <rPr>
        <sz val="11"/>
        <color theme="1"/>
        <rFont val="Noto Sans CJK SC"/>
        <charset val="134"/>
      </rPr>
      <t>对话话术</t>
    </r>
    <r>
      <rPr>
        <sz val="11"/>
        <color theme="1"/>
        <rFont val="宋体"/>
        <charset val="134"/>
      </rPr>
      <t>3</t>
    </r>
    <r>
      <rPr>
        <sz val="11"/>
        <color theme="1"/>
        <rFont val="Noto Sans CJK SC"/>
        <charset val="134"/>
      </rPr>
      <t>种风格）；生成后可一键复制或保存到个人文案库；每日限用</t>
    </r>
    <r>
      <rPr>
        <sz val="11"/>
        <color theme="1"/>
        <rFont val="宋体"/>
        <charset val="134"/>
      </rPr>
      <t>30</t>
    </r>
    <r>
      <rPr>
        <sz val="11"/>
        <color theme="1"/>
        <rFont val="Noto Sans CJK SC"/>
        <charset val="134"/>
      </rPr>
      <t>次（</t>
    </r>
    <r>
      <rPr>
        <sz val="11"/>
        <color theme="1"/>
        <rFont val="宋体"/>
        <charset val="134"/>
      </rPr>
      <t>Redis</t>
    </r>
    <r>
      <rPr>
        <sz val="11"/>
        <color theme="1"/>
        <rFont val="Noto Sans CJK SC"/>
        <charset val="134"/>
      </rPr>
      <t>计数器限频）；生成内容审核关键词过滤（禁止出现绝对化用语）；调用埋点记录使用情况</t>
    </r>
  </si>
  <si>
    <r>
      <rPr>
        <sz val="11"/>
        <color theme="1"/>
        <rFont val="宋体"/>
        <charset val="134"/>
      </rPr>
      <t>AI</t>
    </r>
    <r>
      <rPr>
        <sz val="11"/>
        <color theme="1"/>
        <rFont val="Noto Sans CJK SC"/>
        <charset val="134"/>
      </rPr>
      <t>接口调用，内容安全过滤，频次限制</t>
    </r>
  </si>
  <si>
    <t>节日营销日历</t>
  </si>
  <si>
    <r>
      <rPr>
        <sz val="11"/>
        <color theme="1"/>
        <rFont val="Noto Sans CJK SC"/>
        <charset val="134"/>
      </rPr>
      <t>预置全年保险营销节点日历（</t>
    </r>
    <r>
      <rPr>
        <sz val="11"/>
        <color theme="1"/>
        <rFont val="宋体"/>
        <charset val="134"/>
      </rPr>
      <t>3.15</t>
    </r>
    <r>
      <rPr>
        <sz val="11"/>
        <color theme="1"/>
        <rFont val="Noto Sans CJK SC"/>
        <charset val="134"/>
      </rPr>
      <t>消费者权益日</t>
    </r>
    <r>
      <rPr>
        <sz val="11"/>
        <color theme="1"/>
        <rFont val="宋体"/>
        <charset val="134"/>
      </rPr>
      <t>/4.19</t>
    </r>
    <r>
      <rPr>
        <sz val="11"/>
        <color theme="1"/>
        <rFont val="Noto Sans CJK SC"/>
        <charset val="134"/>
      </rPr>
      <t>保险公众日</t>
    </r>
    <r>
      <rPr>
        <sz val="11"/>
        <color theme="1"/>
        <rFont val="宋体"/>
        <charset val="134"/>
      </rPr>
      <t>/</t>
    </r>
    <r>
      <rPr>
        <sz val="11"/>
        <color theme="1"/>
        <rFont val="Noto Sans CJK SC"/>
        <charset val="134"/>
      </rPr>
      <t>重阳</t>
    </r>
    <r>
      <rPr>
        <sz val="11"/>
        <color theme="1"/>
        <rFont val="宋体"/>
        <charset val="134"/>
      </rPr>
      <t>/</t>
    </r>
    <r>
      <rPr>
        <sz val="11"/>
        <color theme="1"/>
        <rFont val="Noto Sans CJK SC"/>
        <charset val="134"/>
      </rPr>
      <t>开学季</t>
    </r>
    <r>
      <rPr>
        <sz val="11"/>
        <color theme="1"/>
        <rFont val="宋体"/>
        <charset val="134"/>
      </rPr>
      <t>/</t>
    </r>
    <r>
      <rPr>
        <sz val="11"/>
        <color theme="1"/>
        <rFont val="Noto Sans CJK SC"/>
        <charset val="134"/>
      </rPr>
      <t>年金产品旺季等）；每个节点关联推荐营销动作（发哪类文案</t>
    </r>
    <r>
      <rPr>
        <sz val="11"/>
        <color theme="1"/>
        <rFont val="宋体"/>
        <charset val="134"/>
      </rPr>
      <t>/</t>
    </r>
    <r>
      <rPr>
        <sz val="11"/>
        <color theme="1"/>
        <rFont val="Noto Sans CJK SC"/>
        <charset val="134"/>
      </rPr>
      <t>推哪类产品</t>
    </r>
    <r>
      <rPr>
        <sz val="11"/>
        <color theme="1"/>
        <rFont val="宋体"/>
        <charset val="134"/>
      </rPr>
      <t>/</t>
    </r>
    <r>
      <rPr>
        <sz val="11"/>
        <color theme="1"/>
        <rFont val="Noto Sans CJK SC"/>
        <charset val="134"/>
      </rPr>
      <t>参考话术）；节点前</t>
    </r>
    <r>
      <rPr>
        <sz val="11"/>
        <color theme="1"/>
        <rFont val="宋体"/>
        <charset val="134"/>
      </rPr>
      <t>3</t>
    </r>
    <r>
      <rPr>
        <sz val="11"/>
        <color theme="1"/>
        <rFont val="Noto Sans CJK SC"/>
        <charset val="134"/>
      </rPr>
      <t>天推送</t>
    </r>
    <r>
      <rPr>
        <sz val="11"/>
        <color theme="1"/>
        <rFont val="宋体"/>
        <charset val="134"/>
      </rPr>
      <t>App</t>
    </r>
    <r>
      <rPr>
        <sz val="11"/>
        <color theme="1"/>
        <rFont val="Noto Sans CJK SC"/>
        <charset val="134"/>
      </rPr>
      <t>提醒；日历视图</t>
    </r>
    <r>
      <rPr>
        <sz val="11"/>
        <color theme="1"/>
        <rFont val="宋体"/>
        <charset val="134"/>
      </rPr>
      <t>+</t>
    </r>
    <r>
      <rPr>
        <sz val="11"/>
        <color theme="1"/>
        <rFont val="Noto Sans CJK SC"/>
        <charset val="134"/>
      </rPr>
      <t>列表视图切换；</t>
    </r>
    <r>
      <rPr>
        <sz val="11"/>
        <color theme="1"/>
        <rFont val="宋体"/>
        <charset val="134"/>
      </rPr>
      <t>PC</t>
    </r>
    <r>
      <rPr>
        <sz val="11"/>
        <color theme="1"/>
        <rFont val="Noto Sans CJK SC"/>
        <charset val="134"/>
      </rPr>
      <t>后台可维护节日节点和推荐内容；</t>
    </r>
    <r>
      <rPr>
        <sz val="11"/>
        <color theme="1"/>
        <rFont val="宋体"/>
        <charset val="134"/>
      </rPr>
      <t>ins_marketing_calendar</t>
    </r>
    <r>
      <rPr>
        <sz val="11"/>
        <color theme="1"/>
        <rFont val="Noto Sans CJK SC"/>
        <charset val="134"/>
      </rPr>
      <t>表</t>
    </r>
  </si>
  <si>
    <t>日历视图开发，节点提前推送</t>
  </si>
  <si>
    <t>素材使用统计</t>
  </si>
  <si>
    <r>
      <rPr>
        <sz val="11"/>
        <color theme="1"/>
        <rFont val="Noto Sans CJK SC"/>
        <charset val="134"/>
      </rPr>
      <t>个人营销素材使用分析：各类素材（海报</t>
    </r>
    <r>
      <rPr>
        <sz val="11"/>
        <color theme="1"/>
        <rFont val="宋体"/>
        <charset val="134"/>
      </rPr>
      <t>/</t>
    </r>
    <r>
      <rPr>
        <sz val="11"/>
        <color theme="1"/>
        <rFont val="Noto Sans CJK SC"/>
        <charset val="134"/>
      </rPr>
      <t>文案</t>
    </r>
    <r>
      <rPr>
        <sz val="11"/>
        <color theme="1"/>
        <rFont val="宋体"/>
        <charset val="134"/>
      </rPr>
      <t>/</t>
    </r>
    <r>
      <rPr>
        <sz val="11"/>
        <color theme="1"/>
        <rFont val="Noto Sans CJK SC"/>
        <charset val="134"/>
      </rPr>
      <t>视频）使用次数、转发次数、客户打开次数；维度：近</t>
    </r>
    <r>
      <rPr>
        <sz val="11"/>
        <color theme="1"/>
        <rFont val="宋体"/>
        <charset val="134"/>
      </rPr>
      <t>7</t>
    </r>
    <r>
      <rPr>
        <sz val="11"/>
        <color theme="1"/>
        <rFont val="Noto Sans CJK SC"/>
        <charset val="134"/>
      </rPr>
      <t>天</t>
    </r>
    <r>
      <rPr>
        <sz val="11"/>
        <color theme="1"/>
        <rFont val="宋体"/>
        <charset val="134"/>
      </rPr>
      <t>/</t>
    </r>
    <r>
      <rPr>
        <sz val="11"/>
        <color theme="1"/>
        <rFont val="Noto Sans CJK SC"/>
        <charset val="134"/>
      </rPr>
      <t>近</t>
    </r>
    <r>
      <rPr>
        <sz val="11"/>
        <color theme="1"/>
        <rFont val="宋体"/>
        <charset val="134"/>
      </rPr>
      <t>30</t>
    </r>
    <r>
      <rPr>
        <sz val="11"/>
        <color theme="1"/>
        <rFont val="Noto Sans CJK SC"/>
        <charset val="134"/>
      </rPr>
      <t>天；图表：</t>
    </r>
    <r>
      <rPr>
        <sz val="11"/>
        <color theme="1"/>
        <rFont val="宋体"/>
        <charset val="134"/>
      </rPr>
      <t>ECharts</t>
    </r>
    <r>
      <rPr>
        <sz val="11"/>
        <color theme="1"/>
        <rFont val="Noto Sans CJK SC"/>
        <charset val="134"/>
      </rPr>
      <t>柱状图展示各素材类型使用频次；最常用素材</t>
    </r>
    <r>
      <rPr>
        <sz val="11"/>
        <color theme="1"/>
        <rFont val="宋体"/>
        <charset val="134"/>
      </rPr>
      <t>TOP5</t>
    </r>
    <r>
      <rPr>
        <sz val="11"/>
        <color theme="1"/>
        <rFont val="Noto Sans CJK SC"/>
        <charset val="134"/>
      </rPr>
      <t>；通过素材带参链接埋点统计客户打开（类似计划书查看追踪逻辑）；引导业务员使用高效素材</t>
    </r>
  </si>
  <si>
    <t>素材使用行为埋点，统计聚合</t>
  </si>
  <si>
    <t>客户邀请</t>
  </si>
  <si>
    <t>邀请链接</t>
  </si>
  <si>
    <t>生成专属邀请链接。进入"客户邀请"页，后端查/生成邀请码（Base62 8位，首次自动创建，DB唯一索引保证全局唯一）。统计直接邀请人数（inviter_id=当前用户的记录数）、已发放奖励总额、待发放奖励。返回邀请码+邀请链接+统计数据。页面含"复制链接"按钮和邀请链接文本。</t>
  </si>
  <si>
    <t>短链生成，参数加密。Base62邀请码生成，营销统计聚合查询</t>
  </si>
  <si>
    <t>邀请二维码</t>
  </si>
  <si>
    <t>生成邀请二维码。展示大尺寸邀请二维码（内容为邀请链接）。推荐前端用qrcode.js直接生成，无需后端接口。二维码页面含"保存二维码到相册"和"分享给朋友"按钮。</t>
  </si>
  <si>
    <r>
      <rPr>
        <sz val="11"/>
        <color theme="1"/>
        <rFont val="宋体"/>
        <charset val="134"/>
      </rPr>
      <t>QRCode</t>
    </r>
    <r>
      <rPr>
        <sz val="11"/>
        <color theme="1"/>
        <rFont val="Noto Sans CJK SC"/>
        <charset val="134"/>
      </rPr>
      <t>生成。</t>
    </r>
    <r>
      <rPr>
        <sz val="11"/>
        <color theme="1"/>
        <rFont val="宋体"/>
        <charset val="134"/>
      </rPr>
      <t>qrcode.js</t>
    </r>
    <r>
      <rPr>
        <sz val="11"/>
        <color theme="1"/>
        <rFont val="Noto Sans CJK SC"/>
        <charset val="134"/>
      </rPr>
      <t>前端生成，或后端</t>
    </r>
    <r>
      <rPr>
        <sz val="11"/>
        <color theme="1"/>
        <rFont val="宋体"/>
        <charset val="134"/>
      </rPr>
      <t>ZXing</t>
    </r>
    <r>
      <rPr>
        <sz val="11"/>
        <color theme="1"/>
        <rFont val="Noto Sans CJK SC"/>
        <charset val="134"/>
      </rPr>
      <t>生成后上传</t>
    </r>
    <r>
      <rPr>
        <sz val="11"/>
        <color theme="1"/>
        <rFont val="宋体"/>
        <charset val="134"/>
      </rPr>
      <t>OSS</t>
    </r>
  </si>
  <si>
    <t>邀请记录</t>
  </si>
  <si>
    <t>查看邀请记录。列表展示我邀请的人员：头像+姓名（张**脱敏）+邀请时间+状态标签（已注册/已实名/已下单）+获得奖励。支持status筛选。后端查marketing_invite_record(inviter_id=当前用户)，联查用户表+奖励表，姓名脱敏处理。邀请绑定逻辑：新用户注册后异步调bindInviteRelation，校验邀请码存在+被邀请人未绑定过+非本人，入库invite_record并触发注册奖励。</t>
  </si>
  <si>
    <r>
      <rPr>
        <sz val="11"/>
        <color theme="1"/>
        <rFont val="宋体"/>
        <charset val="134"/>
      </rPr>
      <t>marketing_invite_record</t>
    </r>
    <r>
      <rPr>
        <sz val="11"/>
        <color theme="1"/>
        <rFont val="Noto Sans CJK SC"/>
        <charset val="134"/>
      </rPr>
      <t>，唯一索引</t>
    </r>
    <r>
      <rPr>
        <sz val="11"/>
        <color theme="1"/>
        <rFont val="宋体"/>
        <charset val="134"/>
      </rPr>
      <t>uk_invitee</t>
    </r>
    <r>
      <rPr>
        <sz val="11"/>
        <color theme="1"/>
        <rFont val="Noto Sans CJK SC"/>
        <charset val="134"/>
      </rPr>
      <t>，姓名脱敏</t>
    </r>
  </si>
  <si>
    <t>奖励规则</t>
  </si>
  <si>
    <t>邀请奖励说明。点击"奖励说明"弹出规则页面（富文本，只读）。内容来源：后台system_config表中key=marketing.invite.reward_rules的配置值。奖励发放逻辑（后端）：监听订单生效事件→查邀请关系→首单奖励=佣金×5%→二级奖励=佣金×2%→调账户服务入账→更新invite_reward状态→站内消息通知。幂等：invite_record_id+order_id唯一键防重复。</t>
  </si>
  <si>
    <t>奖励发放幂等控制，MQ事件监听，账户服务调用</t>
  </si>
  <si>
    <t>邀请任务体系</t>
  </si>
  <si>
    <r>
      <rPr>
        <sz val="11"/>
        <color theme="1"/>
        <rFont val="Noto Sans CJK SC"/>
        <charset val="134"/>
      </rPr>
      <t>设置阶梯邀请任务：邀请</t>
    </r>
    <r>
      <rPr>
        <sz val="11"/>
        <color theme="1"/>
        <rFont val="宋体"/>
        <charset val="134"/>
      </rPr>
      <t>5</t>
    </r>
    <r>
      <rPr>
        <sz val="11"/>
        <color theme="1"/>
        <rFont val="Noto Sans CJK SC"/>
        <charset val="134"/>
      </rPr>
      <t>人→获铜牌徽章</t>
    </r>
    <r>
      <rPr>
        <sz val="11"/>
        <color theme="1"/>
        <rFont val="宋体"/>
        <charset val="134"/>
      </rPr>
      <t>+50</t>
    </r>
    <r>
      <rPr>
        <sz val="11"/>
        <color theme="1"/>
        <rFont val="Noto Sans CJK SC"/>
        <charset val="134"/>
      </rPr>
      <t>元奖励；邀请</t>
    </r>
    <r>
      <rPr>
        <sz val="11"/>
        <color theme="1"/>
        <rFont val="宋体"/>
        <charset val="134"/>
      </rPr>
      <t>20</t>
    </r>
    <r>
      <rPr>
        <sz val="11"/>
        <color theme="1"/>
        <rFont val="Noto Sans CJK SC"/>
        <charset val="134"/>
      </rPr>
      <t>人→获银牌</t>
    </r>
    <r>
      <rPr>
        <sz val="11"/>
        <color theme="1"/>
        <rFont val="宋体"/>
        <charset val="134"/>
      </rPr>
      <t>+200</t>
    </r>
    <r>
      <rPr>
        <sz val="11"/>
        <color theme="1"/>
        <rFont val="Noto Sans CJK SC"/>
        <charset val="134"/>
      </rPr>
      <t>元；邀请</t>
    </r>
    <r>
      <rPr>
        <sz val="11"/>
        <color theme="1"/>
        <rFont val="宋体"/>
        <charset val="134"/>
      </rPr>
      <t>50</t>
    </r>
    <r>
      <rPr>
        <sz val="11"/>
        <color theme="1"/>
        <rFont val="Noto Sans CJK SC"/>
        <charset val="134"/>
      </rPr>
      <t>人→获金牌</t>
    </r>
    <r>
      <rPr>
        <sz val="11"/>
        <color theme="1"/>
        <rFont val="宋体"/>
        <charset val="134"/>
      </rPr>
      <t>+500</t>
    </r>
    <r>
      <rPr>
        <sz val="11"/>
        <color theme="1"/>
        <rFont val="Noto Sans CJK SC"/>
        <charset val="134"/>
      </rPr>
      <t>元；任务进度条展示；完成后自动发放奖励（调</t>
    </r>
    <r>
      <rPr>
        <sz val="11"/>
        <color theme="1"/>
        <rFont val="宋体"/>
        <charset val="134"/>
      </rPr>
      <t>ins-commission</t>
    </r>
    <r>
      <rPr>
        <sz val="11"/>
        <color theme="1"/>
        <rFont val="Noto Sans CJK SC"/>
        <charset val="134"/>
      </rPr>
      <t>入账）；历史完成任务列表；与现有</t>
    </r>
    <r>
      <rPr>
        <sz val="11"/>
        <color theme="1"/>
        <rFont val="宋体"/>
        <charset val="134"/>
      </rPr>
      <t>"</t>
    </r>
    <r>
      <rPr>
        <sz val="11"/>
        <color theme="1"/>
        <rFont val="Noto Sans CJK SC"/>
        <charset val="134"/>
      </rPr>
      <t>奖励规则</t>
    </r>
    <r>
      <rPr>
        <sz val="11"/>
        <color theme="1"/>
        <rFont val="宋体"/>
        <charset val="134"/>
      </rPr>
      <t>"</t>
    </r>
    <r>
      <rPr>
        <sz val="11"/>
        <color theme="1"/>
        <rFont val="Noto Sans CJK SC"/>
        <charset val="134"/>
      </rPr>
      <t>模块区分：奖励规则是持续性规则，任务体系是阶段性成就</t>
    </r>
  </si>
  <si>
    <t>阶梯任务状态机，自动奖励发放</t>
  </si>
  <si>
    <t>获客落地页配置</t>
  </si>
  <si>
    <r>
      <rPr>
        <sz val="11"/>
        <color theme="1"/>
        <rFont val="Noto Sans CJK SC"/>
        <charset val="134"/>
      </rPr>
      <t>业务员可配置专属获客落地页（</t>
    </r>
    <r>
      <rPr>
        <sz val="11"/>
        <color theme="1"/>
        <rFont val="宋体"/>
        <charset val="134"/>
      </rPr>
      <t>H5</t>
    </r>
    <r>
      <rPr>
        <sz val="11"/>
        <color theme="1"/>
        <rFont val="Noto Sans CJK SC"/>
        <charset val="134"/>
      </rPr>
      <t>）：自选模板（简约</t>
    </r>
    <r>
      <rPr>
        <sz val="11"/>
        <color theme="1"/>
        <rFont val="宋体"/>
        <charset val="134"/>
      </rPr>
      <t>/</t>
    </r>
    <r>
      <rPr>
        <sz val="11"/>
        <color theme="1"/>
        <rFont val="Noto Sans CJK SC"/>
        <charset val="134"/>
      </rPr>
      <t>商务</t>
    </r>
    <r>
      <rPr>
        <sz val="11"/>
        <color theme="1"/>
        <rFont val="宋体"/>
        <charset val="134"/>
      </rPr>
      <t>/</t>
    </r>
    <r>
      <rPr>
        <sz val="11"/>
        <color theme="1"/>
        <rFont val="Noto Sans CJK SC"/>
        <charset val="134"/>
      </rPr>
      <t>温暖</t>
    </r>
    <r>
      <rPr>
        <sz val="11"/>
        <color theme="1"/>
        <rFont val="宋体"/>
        <charset val="134"/>
      </rPr>
      <t>3</t>
    </r>
    <r>
      <rPr>
        <sz val="11"/>
        <color theme="1"/>
        <rFont val="Noto Sans CJK SC"/>
        <charset val="134"/>
      </rPr>
      <t>套）</t>
    </r>
    <r>
      <rPr>
        <sz val="11"/>
        <color theme="1"/>
        <rFont val="宋体"/>
        <charset val="134"/>
      </rPr>
      <t>+</t>
    </r>
    <r>
      <rPr>
        <sz val="11"/>
        <color theme="1"/>
        <rFont val="Noto Sans CJK SC"/>
        <charset val="134"/>
      </rPr>
      <t>上传个人照片</t>
    </r>
    <r>
      <rPr>
        <sz val="11"/>
        <color theme="1"/>
        <rFont val="宋体"/>
        <charset val="134"/>
      </rPr>
      <t>+</t>
    </r>
    <r>
      <rPr>
        <sz val="11"/>
        <color theme="1"/>
        <rFont val="Noto Sans CJK SC"/>
        <charset val="134"/>
      </rPr>
      <t>填写个人介绍（最多</t>
    </r>
    <r>
      <rPr>
        <sz val="11"/>
        <color theme="1"/>
        <rFont val="宋体"/>
        <charset val="134"/>
      </rPr>
      <t>100</t>
    </r>
    <r>
      <rPr>
        <sz val="11"/>
        <color theme="1"/>
        <rFont val="Noto Sans CJK SC"/>
        <charset val="134"/>
      </rPr>
      <t>字）</t>
    </r>
    <r>
      <rPr>
        <sz val="11"/>
        <color theme="1"/>
        <rFont val="宋体"/>
        <charset val="134"/>
      </rPr>
      <t>+</t>
    </r>
    <r>
      <rPr>
        <sz val="11"/>
        <color theme="1"/>
        <rFont val="Noto Sans CJK SC"/>
        <charset val="134"/>
      </rPr>
      <t>展示擅长险种标签</t>
    </r>
    <r>
      <rPr>
        <sz val="11"/>
        <color theme="1"/>
        <rFont val="宋体"/>
        <charset val="134"/>
      </rPr>
      <t>+</t>
    </r>
    <r>
      <rPr>
        <sz val="11"/>
        <color theme="1"/>
        <rFont val="Noto Sans CJK SC"/>
        <charset val="134"/>
      </rPr>
      <t>添加自定义产品推荐（最多</t>
    </r>
    <r>
      <rPr>
        <sz val="11"/>
        <color theme="1"/>
        <rFont val="宋体"/>
        <charset val="134"/>
      </rPr>
      <t>3</t>
    </r>
    <r>
      <rPr>
        <sz val="11"/>
        <color theme="1"/>
        <rFont val="Noto Sans CJK SC"/>
        <charset val="134"/>
      </rPr>
      <t>个）；生成专属链接和二维码；客户扫码留资后自动进入该业务员客户池；</t>
    </r>
    <r>
      <rPr>
        <sz val="11"/>
        <color theme="1"/>
        <rFont val="宋体"/>
        <charset val="134"/>
      </rPr>
      <t>H5</t>
    </r>
    <r>
      <rPr>
        <sz val="11"/>
        <color theme="1"/>
        <rFont val="Noto Sans CJK SC"/>
        <charset val="134"/>
      </rPr>
      <t>落地页</t>
    </r>
    <r>
      <rPr>
        <sz val="11"/>
        <color theme="1"/>
        <rFont val="宋体"/>
        <charset val="134"/>
      </rPr>
      <t>SEO</t>
    </r>
    <r>
      <rPr>
        <sz val="11"/>
        <color theme="1"/>
        <rFont val="Noto Sans CJK SC"/>
        <charset val="134"/>
      </rPr>
      <t>标题支持自定义；</t>
    </r>
    <r>
      <rPr>
        <sz val="11"/>
        <color theme="1"/>
        <rFont val="宋体"/>
        <charset val="134"/>
      </rPr>
      <t>ins_agent_landing_page</t>
    </r>
    <r>
      <rPr>
        <sz val="11"/>
        <color theme="1"/>
        <rFont val="Noto Sans CJK SC"/>
        <charset val="134"/>
      </rPr>
      <t>表</t>
    </r>
  </si>
  <si>
    <t>落地页动态渲染，留资表单，客户自动归属</t>
  </si>
  <si>
    <t>活动推广</t>
  </si>
  <si>
    <t>Tab：进行中/未开始/已结束（对应status 1/0/2）。活动卡片展示封面图+名称+时间+类型标签+参与人数+是否已参与标签。仅展示deleted=0的活动，按sort ASC+start_time DESC排序。联查marketing_user_activity判断当前用户isJoined，返回isJoined字段。</t>
  </si>
  <si>
    <r>
      <rPr>
        <sz val="9"/>
        <rFont val="宋体"/>
        <charset val="134"/>
      </rPr>
      <t>marketing_activity</t>
    </r>
    <r>
      <rPr>
        <sz val="9"/>
        <rFont val="Noto Sans CJK SC"/>
        <charset val="134"/>
      </rPr>
      <t>，联查</t>
    </r>
    <r>
      <rPr>
        <sz val="9"/>
        <rFont val="宋体"/>
        <charset val="134"/>
      </rPr>
      <t>user_activity</t>
    </r>
  </si>
  <si>
    <t>活动详情</t>
  </si>
  <si>
    <t>活动规则、奖品。展示活动大图+名称+时间+说明（富文本）+规则（富文本）+奖励列表（奖励名称/类型/条件）。若用户已参与，展示进度条（current_value/target_value）和完成状态。底部按钮：未参与+进行中→"立即参与"；已参与→"分享活动"。后端查activity+reward列表+user_activity进度三张表。</t>
  </si>
  <si>
    <r>
      <rPr>
        <sz val="9"/>
        <rFont val="宋体"/>
        <charset val="134"/>
      </rPr>
      <t>marketing_activity_reward</t>
    </r>
    <r>
      <rPr>
        <sz val="9"/>
        <rFont val="Noto Sans CJK SC"/>
        <charset val="134"/>
      </rPr>
      <t>，</t>
    </r>
    <r>
      <rPr>
        <sz val="9"/>
        <rFont val="宋体"/>
        <charset val="134"/>
      </rPr>
      <t>marketing_user_activity</t>
    </r>
  </si>
  <si>
    <t>活动参与</t>
  </si>
  <si>
    <t>点击"立即参与"弹确认弹窗，确认后调参与接口。后端校验：活动存在+status=1+在时间范围内+未超参与人数上限（participant_limit&gt;0时校验）+用户未参与过（唯一索引uk_user_activity）。入库marketing_user_activity：current_value=0，target_value取活动配置值，join_time=当前时间。进度更新：监听订单完成/邀请成功事件（MQ），按活动target_type累加current_value，达标时complete_status=1。定时任务每10分钟批量发放已完成未发放奖励，幂等防重复。</t>
  </si>
  <si>
    <r>
      <rPr>
        <sz val="9"/>
        <rFont val="宋体"/>
        <charset val="134"/>
      </rPr>
      <t>uk_user_activity</t>
    </r>
    <r>
      <rPr>
        <sz val="9"/>
        <rFont val="Noto Sans CJK SC"/>
        <charset val="134"/>
      </rPr>
      <t>唯一索引，</t>
    </r>
    <r>
      <rPr>
        <sz val="9"/>
        <rFont val="宋体"/>
        <charset val="134"/>
      </rPr>
      <t>MQ</t>
    </r>
    <r>
      <rPr>
        <sz val="9"/>
        <rFont val="Noto Sans CJK SC"/>
        <charset val="134"/>
      </rPr>
      <t>事件驱动进度更新，定时发奖</t>
    </r>
  </si>
  <si>
    <t>活动分享</t>
  </si>
  <si>
    <t>分享活动页面。点击"分享活动"弹出分享选项（微信好友/朋友圈/复制链接），分享链接携带userId参数。后端记录分享行为（简单日志或分享次数+1），无复杂逻辑。</t>
  </si>
  <si>
    <t>微信小程序分享API，活动链接参数拼接</t>
  </si>
  <si>
    <t>我的奖励</t>
  </si>
  <si>
    <t>查看活动奖励。展示该用户所有活动奖励：活动名+奖励内容+状态（待发放/已到账）+发放时间。Tab：全部/待发放/已到账。后端查marketing_user_activity(complete_status=1，联查activity名称+奖励发放记录)。活动结束后定时任务按名次发放排名奖励（若condition_type=2），调账户/积分/优惠券服务。</t>
  </si>
  <si>
    <t>联查activity+reward记录，不同奖励类型调不同服务</t>
  </si>
  <si>
    <t>活动效果追踪</t>
  </si>
  <si>
    <r>
      <rPr>
        <sz val="11"/>
        <color theme="1"/>
        <rFont val="Noto Sans CJK SC"/>
        <charset val="134"/>
      </rPr>
      <t>业务员参与活动后可查看自己的活动效果数据：分享次数</t>
    </r>
    <r>
      <rPr>
        <sz val="11"/>
        <color theme="1"/>
        <rFont val="宋体"/>
        <charset val="134"/>
      </rPr>
      <t>/</t>
    </r>
    <r>
      <rPr>
        <sz val="11"/>
        <color theme="1"/>
        <rFont val="Noto Sans CJK SC"/>
        <charset val="134"/>
      </rPr>
      <t>客户点击次数</t>
    </r>
    <r>
      <rPr>
        <sz val="11"/>
        <color theme="1"/>
        <rFont val="宋体"/>
        <charset val="134"/>
      </rPr>
      <t>/</t>
    </r>
    <r>
      <rPr>
        <sz val="11"/>
        <color theme="1"/>
        <rFont val="Noto Sans CJK SC"/>
        <charset val="134"/>
      </rPr>
      <t>转化订单数</t>
    </r>
    <r>
      <rPr>
        <sz val="11"/>
        <color theme="1"/>
        <rFont val="宋体"/>
        <charset val="134"/>
      </rPr>
      <t>/</t>
    </r>
    <r>
      <rPr>
        <sz val="11"/>
        <color theme="1"/>
        <rFont val="Noto Sans CJK SC"/>
        <charset val="134"/>
      </rPr>
      <t>获得奖励金额；漏斗图展示：分享→点击→留资→成交各环节转化率；数据更新频率：实时（</t>
    </r>
    <r>
      <rPr>
        <sz val="11"/>
        <color theme="1"/>
        <rFont val="宋体"/>
        <charset val="134"/>
      </rPr>
      <t>Redis</t>
    </r>
    <r>
      <rPr>
        <sz val="11"/>
        <color theme="1"/>
        <rFont val="Noto Sans CJK SC"/>
        <charset val="134"/>
      </rPr>
      <t>计数）</t>
    </r>
    <r>
      <rPr>
        <sz val="11"/>
        <color theme="1"/>
        <rFont val="宋体"/>
        <charset val="134"/>
      </rPr>
      <t>+</t>
    </r>
    <r>
      <rPr>
        <sz val="11"/>
        <color theme="1"/>
        <rFont val="Noto Sans CJK SC"/>
        <charset val="134"/>
      </rPr>
      <t>每日统计入库；帮助业务员了解活动</t>
    </r>
    <r>
      <rPr>
        <sz val="11"/>
        <color theme="1"/>
        <rFont val="宋体"/>
        <charset val="134"/>
      </rPr>
      <t>ROI</t>
    </r>
    <r>
      <rPr>
        <sz val="11"/>
        <color theme="1"/>
        <rFont val="Noto Sans CJK SC"/>
        <charset val="134"/>
      </rPr>
      <t>；数据来源：活动分享链接带参埋点</t>
    </r>
  </si>
  <si>
    <t>活动转化漏斗，埋点统计</t>
  </si>
  <si>
    <t>自建客户专属活动</t>
  </si>
  <si>
    <r>
      <rPr>
        <sz val="11"/>
        <color theme="1"/>
        <rFont val="Noto Sans CJK SC"/>
        <charset val="134"/>
      </rPr>
      <t>业务员可创建小规模客户专属活动（区别于全平台活动）：填写活动名称</t>
    </r>
    <r>
      <rPr>
        <sz val="11"/>
        <color theme="1"/>
        <rFont val="宋体"/>
        <charset val="134"/>
      </rPr>
      <t>/</t>
    </r>
    <r>
      <rPr>
        <sz val="11"/>
        <color theme="1"/>
        <rFont val="Noto Sans CJK SC"/>
        <charset val="134"/>
      </rPr>
      <t>时间</t>
    </r>
    <r>
      <rPr>
        <sz val="11"/>
        <color theme="1"/>
        <rFont val="宋体"/>
        <charset val="134"/>
      </rPr>
      <t>/</t>
    </r>
    <r>
      <rPr>
        <sz val="11"/>
        <color theme="1"/>
        <rFont val="Noto Sans CJK SC"/>
        <charset val="134"/>
      </rPr>
      <t>规则说明</t>
    </r>
    <r>
      <rPr>
        <sz val="11"/>
        <color theme="1"/>
        <rFont val="宋体"/>
        <charset val="134"/>
      </rPr>
      <t>/</t>
    </r>
    <r>
      <rPr>
        <sz val="11"/>
        <color theme="1"/>
        <rFont val="Noto Sans CJK SC"/>
        <charset val="134"/>
      </rPr>
      <t>奖励（现金</t>
    </r>
    <r>
      <rPr>
        <sz val="11"/>
        <color theme="1"/>
        <rFont val="宋体"/>
        <charset val="134"/>
      </rPr>
      <t>/</t>
    </r>
    <r>
      <rPr>
        <sz val="11"/>
        <color theme="1"/>
        <rFont val="Noto Sans CJK SC"/>
        <charset val="134"/>
      </rPr>
      <t>优惠券</t>
    </r>
    <r>
      <rPr>
        <sz val="11"/>
        <color theme="1"/>
        <rFont val="宋体"/>
        <charset val="134"/>
      </rPr>
      <t>/</t>
    </r>
    <r>
      <rPr>
        <sz val="11"/>
        <color theme="1"/>
        <rFont val="Noto Sans CJK SC"/>
        <charset val="134"/>
      </rPr>
      <t>礼品描述）；活动人数上限</t>
    </r>
    <r>
      <rPr>
        <sz val="11"/>
        <color theme="1"/>
        <rFont val="宋体"/>
        <charset val="134"/>
      </rPr>
      <t>20</t>
    </r>
    <r>
      <rPr>
        <sz val="11"/>
        <color theme="1"/>
        <rFont val="Noto Sans CJK SC"/>
        <charset val="134"/>
      </rPr>
      <t>人；生成专属分享链接发给客户；客户报名后业务员收到通知；活动管理：开始</t>
    </r>
    <r>
      <rPr>
        <sz val="11"/>
        <color theme="1"/>
        <rFont val="宋体"/>
        <charset val="134"/>
      </rPr>
      <t>/</t>
    </r>
    <r>
      <rPr>
        <sz val="11"/>
        <color theme="1"/>
        <rFont val="Noto Sans CJK SC"/>
        <charset val="134"/>
      </rPr>
      <t>结束</t>
    </r>
    <r>
      <rPr>
        <sz val="11"/>
        <color theme="1"/>
        <rFont val="宋体"/>
        <charset val="134"/>
      </rPr>
      <t>/</t>
    </r>
    <r>
      <rPr>
        <sz val="11"/>
        <color theme="1"/>
        <rFont val="Noto Sans CJK SC"/>
        <charset val="134"/>
      </rPr>
      <t>参与者列表</t>
    </r>
    <r>
      <rPr>
        <sz val="11"/>
        <color theme="1"/>
        <rFont val="宋体"/>
        <charset val="134"/>
      </rPr>
      <t>/</t>
    </r>
    <r>
      <rPr>
        <sz val="11"/>
        <color theme="1"/>
        <rFont val="Noto Sans CJK SC"/>
        <charset val="134"/>
      </rPr>
      <t>手动发奖；</t>
    </r>
    <r>
      <rPr>
        <sz val="11"/>
        <color theme="1"/>
        <rFont val="宋体"/>
        <charset val="134"/>
      </rPr>
      <t>ins_agent_mini_activity</t>
    </r>
    <r>
      <rPr>
        <sz val="11"/>
        <color theme="1"/>
        <rFont val="Noto Sans CJK SC"/>
        <charset val="134"/>
      </rPr>
      <t>表；仅影响本业务员数据，不进入平台活动体系</t>
    </r>
  </si>
  <si>
    <t>微型活动生命周期管理，小规模场景</t>
  </si>
  <si>
    <t>团队管理</t>
  </si>
  <si>
    <t>团队架构</t>
  </si>
  <si>
    <t>组织架构树。以当前用户为根节点展示团队树形结构（最多3级，可配置）。节点展示：头像+姓名（脱敏）+角色标签+直属下级数。大团队（&gt;100人）改为懒加载：首次只返回直属下级，点击展开时请求/children接口。团队关系在邀请绑定时建立：bindInviteRelation中同步调teamService建立marketing_team_structure关系（parent_id+path字段）。点击节点跳转成员详情页。</t>
  </si>
  <si>
    <t>树形组件，递归渲染。marketing_team_structure递归查询，path字段优化，懒加载</t>
  </si>
  <si>
    <t>下级列表</t>
  </si>
  <si>
    <t>我的下级成员。展示直属下级成员列表（parent_id=当前用户的记录），每条显示头像+姓名（脱敏）+手机号（138****8888）+加入时间+本月业绩金额。后端查team_structure(parent_id=当前用户)，批量查用户信息，联查team_performance获取本月业绩（stat_type=2，stat_date=本月第一天）。</t>
  </si>
  <si>
    <r>
      <rPr>
        <sz val="11"/>
        <color theme="1"/>
        <rFont val="宋体"/>
        <charset val="134"/>
      </rPr>
      <t>team_structure+team_performance</t>
    </r>
    <r>
      <rPr>
        <sz val="11"/>
        <color theme="1"/>
        <rFont val="Noto Sans CJK SC"/>
        <charset val="134"/>
      </rPr>
      <t>联查，手机号脱敏</t>
    </r>
  </si>
  <si>
    <t>成员详情</t>
  </si>
  <si>
    <t>查看成员业绩。展示成员基本信息+业绩数据（本月/本季/本年Tab切换）+直属下级数。业绩数据含：订单数/订单金额/佣金。后端必须校验请求者与目标成员存在上下级关系（目标成员的path包含请求者userId），否则403拒绝。查team_performance按stat_type返回对应统计值。</t>
  </si>
  <si>
    <r>
      <rPr>
        <sz val="11"/>
        <color theme="1"/>
        <rFont val="宋体"/>
        <charset val="134"/>
      </rPr>
      <t>path</t>
    </r>
    <r>
      <rPr>
        <sz val="11"/>
        <color theme="1"/>
        <rFont val="Noto Sans CJK SC"/>
        <charset val="134"/>
      </rPr>
      <t>权限校验，</t>
    </r>
    <r>
      <rPr>
        <sz val="11"/>
        <color theme="1"/>
        <rFont val="宋体"/>
        <charset val="134"/>
      </rPr>
      <t>team_performance</t>
    </r>
    <r>
      <rPr>
        <sz val="11"/>
        <color theme="1"/>
        <rFont val="Noto Sans CJK SC"/>
        <charset val="134"/>
      </rPr>
      <t>多维度统计</t>
    </r>
  </si>
  <si>
    <t>邀请成员</t>
  </si>
  <si>
    <t>生成邀请链接。点击"邀请成员加入"，弹出分享弹窗，展示邀请二维码+邀请链接（复用客户邀请模块my-info接口数据）。无独立接口，前端直接复用邀请模块的数据。</t>
  </si>
  <si>
    <t>复用邀请模块接口</t>
  </si>
  <si>
    <t>团队业绩</t>
  </si>
  <si>
    <t>团队业绩统计。顶部3列：个人业绩/直属团队业绩/全团队业绩，时间Tab：本月/本季/本年。ECharts折线图展示近期业绩趋势。后端查team_performance（stat_type对应月/季/年，stat_date对应时间段第一天），若无记录返回全0。定时任务（每日凌晨1点）计算：个人日业绩→直属团队（汇总直属下级）→全团队（path LIKE前缀查全部下级汇总），入库/更新team_performance，UNIQUE KEY uk_user_date_type冲突时UPDATE。</t>
  </si>
  <si>
    <r>
      <rPr>
        <sz val="11"/>
        <color theme="1"/>
        <rFont val="宋体"/>
        <charset val="134"/>
      </rPr>
      <t>ECharts</t>
    </r>
    <r>
      <rPr>
        <sz val="11"/>
        <color theme="1"/>
        <rFont val="Noto Sans CJK SC"/>
        <charset val="134"/>
      </rPr>
      <t>图表。</t>
    </r>
    <r>
      <rPr>
        <sz val="11"/>
        <color theme="1"/>
        <rFont val="宋体"/>
        <charset val="134"/>
      </rPr>
      <t>team_performance</t>
    </r>
    <r>
      <rPr>
        <sz val="11"/>
        <color theme="1"/>
        <rFont val="Noto Sans CJK SC"/>
        <charset val="134"/>
      </rPr>
      <t>定时计算，</t>
    </r>
    <r>
      <rPr>
        <sz val="11"/>
        <color theme="1"/>
        <rFont val="宋体"/>
        <charset val="134"/>
      </rPr>
      <t>path</t>
    </r>
    <r>
      <rPr>
        <sz val="11"/>
        <color theme="1"/>
        <rFont val="Noto Sans CJK SC"/>
        <charset val="134"/>
      </rPr>
      <t>字段批量查下级，</t>
    </r>
    <r>
      <rPr>
        <sz val="11"/>
        <color theme="1"/>
        <rFont val="宋体"/>
        <charset val="134"/>
      </rPr>
      <t>UPSERT</t>
    </r>
  </si>
  <si>
    <t>业绩排名</t>
  </si>
  <si>
    <t>团队成员排名。Tab：日榜/月榜/季榜/年榜，展示Top 50。前3名展示奖杯图标。当前用户始终展示在底部（排名第X名，不在Top50也要显示）。后端按self_order_amount DESC+self_order_count DESC排序，批量查用户信息，额外单独查询当前用户排名位置。脱敏处理姓名。</t>
  </si>
  <si>
    <r>
      <rPr>
        <sz val="11"/>
        <color theme="1"/>
        <rFont val="宋体"/>
        <charset val="134"/>
      </rPr>
      <t>team_performance</t>
    </r>
    <r>
      <rPr>
        <sz val="11"/>
        <color theme="1"/>
        <rFont val="Noto Sans CJK SC"/>
        <charset val="134"/>
      </rPr>
      <t>排名查询，当前用户排名定位</t>
    </r>
  </si>
  <si>
    <t>团队公告与通知</t>
  </si>
  <si>
    <r>
      <rPr>
        <sz val="11"/>
        <color theme="1"/>
        <rFont val="Noto Sans CJK SC"/>
        <charset val="134"/>
      </rPr>
      <t>主管</t>
    </r>
    <r>
      <rPr>
        <sz val="11"/>
        <color theme="1"/>
        <rFont val="宋体"/>
        <charset val="134"/>
      </rPr>
      <t>/</t>
    </r>
    <r>
      <rPr>
        <sz val="11"/>
        <color theme="1"/>
        <rFont val="Noto Sans CJK SC"/>
        <charset val="134"/>
      </rPr>
      <t>团长（角色权限）可发布团队公告（最多</t>
    </r>
    <r>
      <rPr>
        <sz val="11"/>
        <color theme="1"/>
        <rFont val="宋体"/>
        <charset val="134"/>
      </rPr>
      <t>500</t>
    </r>
    <r>
      <rPr>
        <sz val="11"/>
        <color theme="1"/>
        <rFont val="Noto Sans CJK SC"/>
        <charset val="134"/>
      </rPr>
      <t>字</t>
    </r>
    <r>
      <rPr>
        <sz val="11"/>
        <color theme="1"/>
        <rFont val="宋体"/>
        <charset val="134"/>
      </rPr>
      <t>+</t>
    </r>
    <r>
      <rPr>
        <sz val="11"/>
        <color theme="1"/>
        <rFont val="Noto Sans CJK SC"/>
        <charset val="134"/>
      </rPr>
      <t>最多</t>
    </r>
    <r>
      <rPr>
        <sz val="11"/>
        <color theme="1"/>
        <rFont val="宋体"/>
        <charset val="134"/>
      </rPr>
      <t>3</t>
    </r>
    <r>
      <rPr>
        <sz val="11"/>
        <color theme="1"/>
        <rFont val="Noto Sans CJK SC"/>
        <charset val="134"/>
      </rPr>
      <t>张图）；公告推送给直属下级成员</t>
    </r>
    <r>
      <rPr>
        <sz val="11"/>
        <color theme="1"/>
        <rFont val="宋体"/>
        <charset val="134"/>
      </rPr>
      <t>App</t>
    </r>
    <r>
      <rPr>
        <sz val="11"/>
        <color theme="1"/>
        <rFont val="Noto Sans CJK SC"/>
        <charset val="134"/>
      </rPr>
      <t>通知；已读</t>
    </r>
    <r>
      <rPr>
        <sz val="11"/>
        <color theme="1"/>
        <rFont val="宋体"/>
        <charset val="134"/>
      </rPr>
      <t>/</t>
    </r>
    <r>
      <rPr>
        <sz val="11"/>
        <color theme="1"/>
        <rFont val="Noto Sans CJK SC"/>
        <charset val="134"/>
      </rPr>
      <t>未读状态追踪；公告列表按时间倒序（最多保留</t>
    </r>
    <r>
      <rPr>
        <sz val="11"/>
        <color theme="1"/>
        <rFont val="宋体"/>
        <charset val="134"/>
      </rPr>
      <t>30</t>
    </r>
    <r>
      <rPr>
        <sz val="11"/>
        <color theme="1"/>
        <rFont val="Noto Sans CJK SC"/>
        <charset val="134"/>
      </rPr>
      <t>条）；成员可在</t>
    </r>
    <r>
      <rPr>
        <sz val="11"/>
        <color theme="1"/>
        <rFont val="宋体"/>
        <charset val="134"/>
      </rPr>
      <t>"</t>
    </r>
    <r>
      <rPr>
        <sz val="11"/>
        <color theme="1"/>
        <rFont val="Noto Sans CJK SC"/>
        <charset val="134"/>
      </rPr>
      <t>团队</t>
    </r>
    <r>
      <rPr>
        <sz val="11"/>
        <color theme="1"/>
        <rFont val="宋体"/>
        <charset val="134"/>
      </rPr>
      <t>"-"</t>
    </r>
    <r>
      <rPr>
        <sz val="11"/>
        <color theme="1"/>
        <rFont val="Noto Sans CJK SC"/>
        <charset val="134"/>
      </rPr>
      <t>公告</t>
    </r>
    <r>
      <rPr>
        <sz val="11"/>
        <color theme="1"/>
        <rFont val="宋体"/>
        <charset val="134"/>
      </rPr>
      <t>"Tab</t>
    </r>
    <r>
      <rPr>
        <sz val="11"/>
        <color theme="1"/>
        <rFont val="Noto Sans CJK SC"/>
        <charset val="134"/>
      </rPr>
      <t>查看历史公告；</t>
    </r>
    <r>
      <rPr>
        <sz val="11"/>
        <color theme="1"/>
        <rFont val="宋体"/>
        <charset val="134"/>
      </rPr>
      <t>ins_team_notice</t>
    </r>
    <r>
      <rPr>
        <sz val="11"/>
        <color theme="1"/>
        <rFont val="Noto Sans CJK SC"/>
        <charset val="134"/>
      </rPr>
      <t>表；未读公告在首页</t>
    </r>
    <r>
      <rPr>
        <sz val="11"/>
        <color theme="1"/>
        <rFont val="宋体"/>
        <charset val="134"/>
      </rPr>
      <t>badge</t>
    </r>
    <r>
      <rPr>
        <sz val="11"/>
        <color theme="1"/>
        <rFont val="Noto Sans CJK SC"/>
        <charset val="134"/>
      </rPr>
      <t>显示数字提醒</t>
    </r>
  </si>
  <si>
    <t>角色权限控制发布，已读追踪</t>
  </si>
  <si>
    <t>新人培育进度跟踪</t>
  </si>
  <si>
    <r>
      <rPr>
        <sz val="11"/>
        <color theme="1"/>
        <rFont val="Noto Sans CJK SC"/>
        <charset val="134"/>
      </rPr>
      <t>直属主管可查看</t>
    </r>
    <r>
      <rPr>
        <sz val="11"/>
        <color theme="1"/>
        <rFont val="宋体"/>
        <charset val="134"/>
      </rPr>
      <t>30</t>
    </r>
    <r>
      <rPr>
        <sz val="11"/>
        <color theme="1"/>
        <rFont val="Noto Sans CJK SC"/>
        <charset val="134"/>
      </rPr>
      <t>天内新加入团队成员的培育进度：完成必修课程进度</t>
    </r>
    <r>
      <rPr>
        <sz val="11"/>
        <color theme="1"/>
        <rFont val="宋体"/>
        <charset val="134"/>
      </rPr>
      <t>/</t>
    </r>
    <r>
      <rPr>
        <sz val="11"/>
        <color theme="1"/>
        <rFont val="Noto Sans CJK SC"/>
        <charset val="134"/>
      </rPr>
      <t>首单完成时间</t>
    </r>
    <r>
      <rPr>
        <sz val="11"/>
        <color theme="1"/>
        <rFont val="宋体"/>
        <charset val="134"/>
      </rPr>
      <t>/</t>
    </r>
    <r>
      <rPr>
        <sz val="11"/>
        <color theme="1"/>
        <rFont val="Noto Sans CJK SC"/>
        <charset val="134"/>
      </rPr>
      <t>首月业绩</t>
    </r>
    <r>
      <rPr>
        <sz val="11"/>
        <color theme="1"/>
        <rFont val="宋体"/>
        <charset val="134"/>
      </rPr>
      <t>/</t>
    </r>
    <r>
      <rPr>
        <sz val="11"/>
        <color theme="1"/>
        <rFont val="Noto Sans CJK SC"/>
        <charset val="134"/>
      </rPr>
      <t>认证完成情况；以任务清单形式展示每个新人还差哪些关键动作；超期（入职</t>
    </r>
    <r>
      <rPr>
        <sz val="11"/>
        <color theme="1"/>
        <rFont val="宋体"/>
        <charset val="134"/>
      </rPr>
      <t>14</t>
    </r>
    <r>
      <rPr>
        <sz val="11"/>
        <color theme="1"/>
        <rFont val="Noto Sans CJK SC"/>
        <charset val="134"/>
      </rPr>
      <t>天未完成必修课</t>
    </r>
    <r>
      <rPr>
        <sz val="11"/>
        <color theme="1"/>
        <rFont val="宋体"/>
        <charset val="134"/>
      </rPr>
      <t>/21</t>
    </r>
    <r>
      <rPr>
        <sz val="11"/>
        <color theme="1"/>
        <rFont val="Noto Sans CJK SC"/>
        <charset val="134"/>
      </rPr>
      <t>天未首单）触发提醒；帮助主管及时干预；数据聚合自培训中心学习记录</t>
    </r>
    <r>
      <rPr>
        <sz val="11"/>
        <color theme="1"/>
        <rFont val="宋体"/>
        <charset val="134"/>
      </rPr>
      <t>+</t>
    </r>
    <r>
      <rPr>
        <sz val="11"/>
        <color theme="1"/>
        <rFont val="Noto Sans CJK SC"/>
        <charset val="134"/>
      </rPr>
      <t>订单数据</t>
    </r>
  </si>
  <si>
    <t>新人入职状态聚合，里程碑追踪</t>
  </si>
  <si>
    <t>团队通讯录</t>
  </si>
  <si>
    <r>
      <rPr>
        <sz val="11"/>
        <color theme="1"/>
        <rFont val="Noto Sans CJK SC"/>
        <charset val="134"/>
      </rPr>
      <t>展示团队所有成员（按层级展示）的通讯信息：姓名（脱敏）</t>
    </r>
    <r>
      <rPr>
        <sz val="11"/>
        <color theme="1"/>
        <rFont val="宋体"/>
        <charset val="134"/>
      </rPr>
      <t>+</t>
    </r>
    <r>
      <rPr>
        <sz val="11"/>
        <color theme="1"/>
        <rFont val="Noto Sans CJK SC"/>
        <charset val="134"/>
      </rPr>
      <t>角色</t>
    </r>
    <r>
      <rPr>
        <sz val="11"/>
        <color theme="1"/>
        <rFont val="宋体"/>
        <charset val="134"/>
      </rPr>
      <t>+</t>
    </r>
    <r>
      <rPr>
        <sz val="11"/>
        <color theme="1"/>
        <rFont val="Noto Sans CJK SC"/>
        <charset val="134"/>
      </rPr>
      <t>所属机构</t>
    </r>
    <r>
      <rPr>
        <sz val="11"/>
        <color theme="1"/>
        <rFont val="宋体"/>
        <charset val="134"/>
      </rPr>
      <t>+</t>
    </r>
    <r>
      <rPr>
        <sz val="11"/>
        <color theme="1"/>
        <rFont val="Noto Sans CJK SC"/>
        <charset val="134"/>
      </rPr>
      <t>企业微信</t>
    </r>
    <r>
      <rPr>
        <sz val="11"/>
        <color theme="1"/>
        <rFont val="宋体"/>
        <charset val="134"/>
      </rPr>
      <t>/</t>
    </r>
    <r>
      <rPr>
        <sz val="11"/>
        <color theme="1"/>
        <rFont val="Noto Sans CJK SC"/>
        <charset val="134"/>
      </rPr>
      <t>手机（仅展示直属关系或主管有权限查看）；支持一键拨打电话（唤起系统拨号）；支持搜索成员姓名；数据权限：普通成员只能看直属上级和直属下级；团长</t>
    </r>
    <r>
      <rPr>
        <sz val="11"/>
        <color theme="1"/>
        <rFont val="宋体"/>
        <charset val="134"/>
      </rPr>
      <t>/</t>
    </r>
    <r>
      <rPr>
        <sz val="11"/>
        <color theme="1"/>
        <rFont val="Noto Sans CJK SC"/>
        <charset val="134"/>
      </rPr>
      <t>主管可看全团队；</t>
    </r>
    <r>
      <rPr>
        <sz val="11"/>
        <color theme="1"/>
        <rFont val="宋体"/>
        <charset val="134"/>
      </rPr>
      <t>ins_team_structure</t>
    </r>
    <r>
      <rPr>
        <sz val="11"/>
        <color theme="1"/>
        <rFont val="Noto Sans CJK SC"/>
        <charset val="134"/>
      </rPr>
      <t>关联用户信息</t>
    </r>
  </si>
  <si>
    <t>培训中心</t>
  </si>
  <si>
    <t>课程列表</t>
  </si>
  <si>
    <t>培训课程列表。支持关键词搜索（course_name LIKE）+分类Tab+课程类型/难度筛选。必修课置顶（is_required DESC），再按sort ASC。卡片展示封面+名称+讲师+时长（秒转X分钟）+已学人数+进度百分比（联查user_study_record）+必修标签。后端查marketing_course，联查user_study_record获取当前用户学习进度。分页每页10条。</t>
  </si>
  <si>
    <r>
      <rPr>
        <sz val="9"/>
        <rFont val="宋体"/>
        <charset val="134"/>
      </rPr>
      <t>marketing_course</t>
    </r>
    <r>
      <rPr>
        <sz val="9"/>
        <rFont val="Noto Sans CJK SC"/>
        <charset val="134"/>
      </rPr>
      <t>，联查</t>
    </r>
    <r>
      <rPr>
        <sz val="9"/>
        <rFont val="宋体"/>
        <charset val="134"/>
      </rPr>
      <t>study_record</t>
    </r>
    <r>
      <rPr>
        <sz val="9"/>
        <rFont val="Noto Sans CJK SC"/>
        <charset val="134"/>
      </rPr>
      <t>，</t>
    </r>
    <r>
      <rPr>
        <sz val="9"/>
        <rFont val="宋体"/>
        <charset val="134"/>
      </rPr>
      <t>is_required</t>
    </r>
    <r>
      <rPr>
        <sz val="9"/>
        <rFont val="Noto Sans CJK SC"/>
        <charset val="134"/>
      </rPr>
      <t>置顶</t>
    </r>
  </si>
  <si>
    <t>课程详情</t>
  </si>
  <si>
    <t>课程视频、讲义。展示课程基本信息+章节列表（按sort排序，已完成章节显示✓，当前章节高亮，免费试看标签）+我的学习进度（进度条+百分比+当前章节）。底部按钮：未开始→"开始学习"，学习中→"继续学习"（跳转到last_position秒），完成→"已完成 查看证书"（或"参加考试"如有关联考试且study_progress&gt;=95才可点击）。后端查course+chapter列表+user_study_record+关联exam（若有）。</t>
  </si>
  <si>
    <r>
      <rPr>
        <sz val="9"/>
        <rFont val="宋体"/>
        <charset val="134"/>
      </rPr>
      <t>course+chapter+study_record+exam</t>
    </r>
    <r>
      <rPr>
        <sz val="9"/>
        <rFont val="Noto Sans CJK SC"/>
        <charset val="134"/>
      </rPr>
      <t>四表联查</t>
    </r>
  </si>
  <si>
    <t>在线考试</t>
  </si>
  <si>
    <t>课后考试。进入考试前校验：study_progress&gt;=95，allow_retake+max_retake_times检查，考试status=1。弹窗展示考试说明（题数/总分/及格分/时长/重考次数），确认后调start接口：创建exam_record（start_time=当前时间），返回recordId+题目列表（不含correct_answer和analysis）。前端展示倒计时（deadline=start_time+duration分钟），答案保存在内存。提交调submit接口：批改（单选/判断=精确比较，多选=排序后全匹配，填空=trim后忽略大小写比较），计算得分，判断是否通过（&gt;=pass_score），更新exam_record（submit_time/score/pass_status/answers JSON）。通过后异步生成证书。结果页展示得分+是否通过+每题解析。</t>
  </si>
  <si>
    <r>
      <rPr>
        <sz val="9"/>
        <rFont val="宋体"/>
        <charset val="134"/>
      </rPr>
      <t>exam_record</t>
    </r>
    <r>
      <rPr>
        <sz val="9"/>
        <rFont val="Noto Sans CJK SC"/>
        <charset val="134"/>
      </rPr>
      <t>批改逻辑，倒计时自动提交，通过后触发证书生成</t>
    </r>
  </si>
  <si>
    <t>学习记录</t>
  </si>
  <si>
    <t>学习进度、成绩。列表Tab：学习中（is_completed=0）/已完成（is_completed=1）。展示封面+课程名+进度百分比+最后学习时间+操作按钮（继续学习/再次学习/查看证书）。按last_study_time DESC排序。后端查user_study_record，批量查course基本信息，批量查user_certificate判断是否有证书。进度上报：每隔5秒前端上报position，后端节流（5秒最多1次），计算新增时长（防异常：差值&gt;120秒按120秒计，&lt;0不累加），study_progress = MIN(study_duration/duration*100, 100)，&gt;=95时is_completed=true。</t>
  </si>
  <si>
    <r>
      <rPr>
        <sz val="9"/>
        <rFont val="宋体"/>
        <charset val="134"/>
      </rPr>
      <t>study_progress</t>
    </r>
    <r>
      <rPr>
        <sz val="9"/>
        <rFont val="Noto Sans CJK SC"/>
        <charset val="134"/>
      </rPr>
      <t>计算，断点续播</t>
    </r>
    <r>
      <rPr>
        <sz val="9"/>
        <rFont val="宋体"/>
        <charset val="134"/>
      </rPr>
      <t>last_position</t>
    </r>
    <r>
      <rPr>
        <sz val="9"/>
        <rFont val="Noto Sans CJK SC"/>
        <charset val="134"/>
      </rPr>
      <t>，防刷节流</t>
    </r>
  </si>
  <si>
    <t>证书管理</t>
  </si>
  <si>
    <t>培训证书下载。展示已获得证书列表：证书名（课程名+结业证书）+颁发机构+颁发日期+证书图缩略图+下载/分享按钮。证书生成触发时机：①无关联考试时study_progress&gt;=95自动生成，②有考试时考试pass_status=1后生成。生成逻辑：检查marketing_user_certificate唯一索引(user_id+course_id)→Java AWT将姓名/课程名/日期/证书编号绘制到证书模板背景图→上传OSS→入库（certificate_no=CERT+yyyyMMdd+6位序列号，唯一）。下载：前端直接保存OSS图片到相册。</t>
  </si>
  <si>
    <t>学习积分与勋章</t>
  </si>
  <si>
    <r>
      <rPr>
        <sz val="11"/>
        <color theme="1"/>
        <rFont val="Noto Sans CJK SC"/>
        <charset val="134"/>
      </rPr>
      <t>完成课程学习</t>
    </r>
    <r>
      <rPr>
        <sz val="11"/>
        <color theme="1"/>
        <rFont val="宋体"/>
        <charset val="134"/>
      </rPr>
      <t>/</t>
    </r>
    <r>
      <rPr>
        <sz val="11"/>
        <color theme="1"/>
        <rFont val="Noto Sans CJK SC"/>
        <charset val="134"/>
      </rPr>
      <t>通过考试</t>
    </r>
    <r>
      <rPr>
        <sz val="11"/>
        <color theme="1"/>
        <rFont val="宋体"/>
        <charset val="134"/>
      </rPr>
      <t>/</t>
    </r>
    <r>
      <rPr>
        <sz val="11"/>
        <color theme="1"/>
        <rFont val="Noto Sans CJK SC"/>
        <charset val="134"/>
      </rPr>
      <t>获得证书分别给予积分奖励（可配置）；积分累计兑换等级称号（学徒</t>
    </r>
    <r>
      <rPr>
        <sz val="11"/>
        <color theme="1"/>
        <rFont val="宋体"/>
        <charset val="134"/>
      </rPr>
      <t>/</t>
    </r>
    <r>
      <rPr>
        <sz val="11"/>
        <color theme="1"/>
        <rFont val="Noto Sans CJK SC"/>
        <charset val="134"/>
      </rPr>
      <t>中级</t>
    </r>
    <r>
      <rPr>
        <sz val="11"/>
        <color theme="1"/>
        <rFont val="宋体"/>
        <charset val="134"/>
      </rPr>
      <t>/</t>
    </r>
    <r>
      <rPr>
        <sz val="11"/>
        <color theme="1"/>
        <rFont val="Noto Sans CJK SC"/>
        <charset val="134"/>
      </rPr>
      <t>高级</t>
    </r>
    <r>
      <rPr>
        <sz val="11"/>
        <color theme="1"/>
        <rFont val="宋体"/>
        <charset val="134"/>
      </rPr>
      <t>/</t>
    </r>
    <r>
      <rPr>
        <sz val="11"/>
        <color theme="1"/>
        <rFont val="Noto Sans CJK SC"/>
        <charset val="134"/>
      </rPr>
      <t>专家）；勋章体系：完成首门课</t>
    </r>
    <r>
      <rPr>
        <sz val="11"/>
        <color theme="1"/>
        <rFont val="宋体"/>
        <charset val="134"/>
      </rPr>
      <t>/</t>
    </r>
    <r>
      <rPr>
        <sz val="11"/>
        <color theme="1"/>
        <rFont val="Noto Sans CJK SC"/>
        <charset val="134"/>
      </rPr>
      <t>全勤学习</t>
    </r>
    <r>
      <rPr>
        <sz val="11"/>
        <color theme="1"/>
        <rFont val="宋体"/>
        <charset val="134"/>
      </rPr>
      <t>7</t>
    </r>
    <r>
      <rPr>
        <sz val="11"/>
        <color theme="1"/>
        <rFont val="Noto Sans CJK SC"/>
        <charset val="134"/>
      </rPr>
      <t>天</t>
    </r>
    <r>
      <rPr>
        <sz val="11"/>
        <color theme="1"/>
        <rFont val="宋体"/>
        <charset val="134"/>
      </rPr>
      <t>/</t>
    </r>
    <r>
      <rPr>
        <sz val="11"/>
        <color theme="1"/>
        <rFont val="Noto Sans CJK SC"/>
        <charset val="134"/>
      </rPr>
      <t>通过</t>
    </r>
    <r>
      <rPr>
        <sz val="11"/>
        <color theme="1"/>
        <rFont val="宋体"/>
        <charset val="134"/>
      </rPr>
      <t>5</t>
    </r>
    <r>
      <rPr>
        <sz val="11"/>
        <color theme="1"/>
        <rFont val="Noto Sans CJK SC"/>
        <charset val="134"/>
      </rPr>
      <t>门考试等特定成就获得专属勋章；积分</t>
    </r>
    <r>
      <rPr>
        <sz val="11"/>
        <color theme="1"/>
        <rFont val="宋体"/>
        <charset val="134"/>
      </rPr>
      <t>/</t>
    </r>
    <r>
      <rPr>
        <sz val="11"/>
        <color theme="1"/>
        <rFont val="Noto Sans CJK SC"/>
        <charset val="134"/>
      </rPr>
      <t>勋章在个人学习主页展示；积分排行榜（全平台</t>
    </r>
    <r>
      <rPr>
        <sz val="11"/>
        <color theme="1"/>
        <rFont val="宋体"/>
        <charset val="134"/>
      </rPr>
      <t>/</t>
    </r>
    <r>
      <rPr>
        <sz val="11"/>
        <color theme="1"/>
        <rFont val="Noto Sans CJK SC"/>
        <charset val="134"/>
      </rPr>
      <t>本团队）激励学习竞争；</t>
    </r>
    <r>
      <rPr>
        <sz val="11"/>
        <color theme="1"/>
        <rFont val="宋体"/>
        <charset val="134"/>
      </rPr>
      <t>ins_study_points</t>
    </r>
    <r>
      <rPr>
        <sz val="11"/>
        <color theme="1"/>
        <rFont val="Noto Sans CJK SC"/>
        <charset val="134"/>
      </rPr>
      <t>表</t>
    </r>
  </si>
  <si>
    <t>积分体系设计，勋章成就触发</t>
  </si>
  <si>
    <r>
      <rPr>
        <sz val="11"/>
        <color theme="1"/>
        <rFont val="Noto Sans CJK SC"/>
        <charset val="134"/>
      </rPr>
      <t>直播课（预约</t>
    </r>
    <r>
      <rPr>
        <sz val="11"/>
        <color theme="1"/>
        <rFont val="宋体"/>
        <charset val="134"/>
      </rPr>
      <t>+</t>
    </r>
    <r>
      <rPr>
        <sz val="11"/>
        <color theme="1"/>
        <rFont val="Noto Sans CJK SC"/>
        <charset val="134"/>
      </rPr>
      <t>回放）</t>
    </r>
  </si>
  <si>
    <r>
      <rPr>
        <sz val="11"/>
        <color theme="1"/>
        <rFont val="Noto Sans CJK SC"/>
        <charset val="134"/>
      </rPr>
      <t>接入阿里云视频直播</t>
    </r>
    <r>
      <rPr>
        <sz val="11"/>
        <color theme="1"/>
        <rFont val="宋体"/>
        <charset val="134"/>
      </rPr>
      <t>SDK</t>
    </r>
    <r>
      <rPr>
        <sz val="11"/>
        <color theme="1"/>
        <rFont val="Noto Sans CJK SC"/>
        <charset val="134"/>
      </rPr>
      <t>；</t>
    </r>
    <r>
      <rPr>
        <sz val="11"/>
        <color theme="1"/>
        <rFont val="宋体"/>
        <charset val="134"/>
      </rPr>
      <t>PC</t>
    </r>
    <r>
      <rPr>
        <sz val="11"/>
        <color theme="1"/>
        <rFont val="Noto Sans CJK SC"/>
        <charset val="134"/>
      </rPr>
      <t>后台管理员发布直播计划（标题</t>
    </r>
    <r>
      <rPr>
        <sz val="11"/>
        <color theme="1"/>
        <rFont val="宋体"/>
        <charset val="134"/>
      </rPr>
      <t>/</t>
    </r>
    <r>
      <rPr>
        <sz val="11"/>
        <color theme="1"/>
        <rFont val="Noto Sans CJK SC"/>
        <charset val="134"/>
      </rPr>
      <t>讲师</t>
    </r>
    <r>
      <rPr>
        <sz val="11"/>
        <color theme="1"/>
        <rFont val="宋体"/>
        <charset val="134"/>
      </rPr>
      <t>/</t>
    </r>
    <r>
      <rPr>
        <sz val="11"/>
        <color theme="1"/>
        <rFont val="Noto Sans CJK SC"/>
        <charset val="134"/>
      </rPr>
      <t>时间</t>
    </r>
    <r>
      <rPr>
        <sz val="11"/>
        <color theme="1"/>
        <rFont val="宋体"/>
        <charset val="134"/>
      </rPr>
      <t>/</t>
    </r>
    <r>
      <rPr>
        <sz val="11"/>
        <color theme="1"/>
        <rFont val="Noto Sans CJK SC"/>
        <charset val="134"/>
      </rPr>
      <t>链接</t>
    </r>
    <r>
      <rPr>
        <sz val="11"/>
        <color theme="1"/>
        <rFont val="宋体"/>
        <charset val="134"/>
      </rPr>
      <t>/</t>
    </r>
    <r>
      <rPr>
        <sz val="11"/>
        <color theme="1"/>
        <rFont val="Noto Sans CJK SC"/>
        <charset val="134"/>
      </rPr>
      <t>封面）；业务员</t>
    </r>
    <r>
      <rPr>
        <sz val="11"/>
        <color theme="1"/>
        <rFont val="宋体"/>
        <charset val="134"/>
      </rPr>
      <t>App</t>
    </r>
    <r>
      <rPr>
        <sz val="11"/>
        <color theme="1"/>
        <rFont val="Noto Sans CJK SC"/>
        <charset val="134"/>
      </rPr>
      <t>可预约直播：预约后时间临近（提前</t>
    </r>
    <r>
      <rPr>
        <sz val="11"/>
        <color theme="1"/>
        <rFont val="宋体"/>
        <charset val="134"/>
      </rPr>
      <t>10</t>
    </r>
    <r>
      <rPr>
        <sz val="11"/>
        <color theme="1"/>
        <rFont val="Noto Sans CJK SC"/>
        <charset val="134"/>
      </rPr>
      <t>分钟）推送提醒；直播结束后上传回放录像到</t>
    </r>
    <r>
      <rPr>
        <sz val="11"/>
        <color theme="1"/>
        <rFont val="宋体"/>
        <charset val="134"/>
      </rPr>
      <t>OSS/</t>
    </r>
    <r>
      <rPr>
        <sz val="11"/>
        <color theme="1"/>
        <rFont val="Noto Sans CJK SC"/>
        <charset val="134"/>
      </rPr>
      <t>阿里云</t>
    </r>
    <r>
      <rPr>
        <sz val="11"/>
        <color theme="1"/>
        <rFont val="宋体"/>
        <charset val="134"/>
      </rPr>
      <t>VOD</t>
    </r>
    <r>
      <rPr>
        <sz val="11"/>
        <color theme="1"/>
        <rFont val="Noto Sans CJK SC"/>
        <charset val="134"/>
      </rPr>
      <t>；回放视频接入现有学习进度追踪体系；直播场次统计：报名人数</t>
    </r>
    <r>
      <rPr>
        <sz val="11"/>
        <color theme="1"/>
        <rFont val="宋体"/>
        <charset val="134"/>
      </rPr>
      <t>/</t>
    </r>
    <r>
      <rPr>
        <sz val="11"/>
        <color theme="1"/>
        <rFont val="Noto Sans CJK SC"/>
        <charset val="134"/>
      </rPr>
      <t>在线峰值</t>
    </r>
    <r>
      <rPr>
        <sz val="11"/>
        <color theme="1"/>
        <rFont val="宋体"/>
        <charset val="134"/>
      </rPr>
      <t>/</t>
    </r>
    <r>
      <rPr>
        <sz val="11"/>
        <color theme="1"/>
        <rFont val="Noto Sans CJK SC"/>
        <charset val="134"/>
      </rPr>
      <t>回放播放数；</t>
    </r>
    <r>
      <rPr>
        <sz val="11"/>
        <color theme="1"/>
        <rFont val="宋体"/>
        <charset val="134"/>
      </rPr>
      <t>ins_live_course</t>
    </r>
    <r>
      <rPr>
        <sz val="11"/>
        <color theme="1"/>
        <rFont val="Noto Sans CJK SC"/>
        <charset val="134"/>
      </rPr>
      <t>表</t>
    </r>
  </si>
  <si>
    <r>
      <rPr>
        <sz val="11"/>
        <color theme="1"/>
        <rFont val="Noto Sans CJK SC"/>
        <charset val="134"/>
      </rPr>
      <t>直播</t>
    </r>
    <r>
      <rPr>
        <sz val="11"/>
        <color theme="1"/>
        <rFont val="宋体"/>
        <charset val="134"/>
      </rPr>
      <t>SDK</t>
    </r>
    <r>
      <rPr>
        <sz val="11"/>
        <color theme="1"/>
        <rFont val="Noto Sans CJK SC"/>
        <charset val="134"/>
      </rPr>
      <t>集成，预约提醒，回放管理</t>
    </r>
  </si>
  <si>
    <t>知识问答社区</t>
  </si>
  <si>
    <r>
      <rPr>
        <sz val="11"/>
        <color theme="1"/>
        <rFont val="Noto Sans CJK SC"/>
        <charset val="134"/>
      </rPr>
      <t>业务员可提问保险相关问题（最多</t>
    </r>
    <r>
      <rPr>
        <sz val="11"/>
        <color theme="1"/>
        <rFont val="宋体"/>
        <charset val="134"/>
      </rPr>
      <t>500</t>
    </r>
    <r>
      <rPr>
        <sz val="11"/>
        <color theme="1"/>
        <rFont val="Noto Sans CJK SC"/>
        <charset val="134"/>
      </rPr>
      <t>字</t>
    </r>
    <r>
      <rPr>
        <sz val="11"/>
        <color theme="1"/>
        <rFont val="宋体"/>
        <charset val="134"/>
      </rPr>
      <t>+</t>
    </r>
    <r>
      <rPr>
        <sz val="11"/>
        <color theme="1"/>
        <rFont val="Noto Sans CJK SC"/>
        <charset val="134"/>
      </rPr>
      <t>最多</t>
    </r>
    <r>
      <rPr>
        <sz val="11"/>
        <color theme="1"/>
        <rFont val="宋体"/>
        <charset val="134"/>
      </rPr>
      <t>3</t>
    </r>
    <r>
      <rPr>
        <sz val="11"/>
        <color theme="1"/>
        <rFont val="Noto Sans CJK SC"/>
        <charset val="134"/>
      </rPr>
      <t>张图）；其他业务员或讲师回答（带身份标识）；最佳回答被采纳（提问者采纳，回答者获积分）；支持点赞</t>
    </r>
    <r>
      <rPr>
        <sz val="11"/>
        <color theme="1"/>
        <rFont val="宋体"/>
        <charset val="134"/>
      </rPr>
      <t>/</t>
    </r>
    <r>
      <rPr>
        <sz val="11"/>
        <color theme="1"/>
        <rFont val="Noto Sans CJK SC"/>
        <charset val="134"/>
      </rPr>
      <t>收藏；内容按热度</t>
    </r>
    <r>
      <rPr>
        <sz val="11"/>
        <color theme="1"/>
        <rFont val="宋体"/>
        <charset val="134"/>
      </rPr>
      <t>/</t>
    </r>
    <r>
      <rPr>
        <sz val="11"/>
        <color theme="1"/>
        <rFont val="Noto Sans CJK SC"/>
        <charset val="134"/>
      </rPr>
      <t>最新排序；搜索支持关键词全文检索；违禁词过滤（不得发布产品外链</t>
    </r>
    <r>
      <rPr>
        <sz val="11"/>
        <color theme="1"/>
        <rFont val="宋体"/>
        <charset val="134"/>
      </rPr>
      <t>/</t>
    </r>
    <r>
      <rPr>
        <sz val="11"/>
        <color theme="1"/>
        <rFont val="Noto Sans CJK SC"/>
        <charset val="134"/>
      </rPr>
      <t>招募广告）；</t>
    </r>
    <r>
      <rPr>
        <sz val="11"/>
        <color theme="1"/>
        <rFont val="宋体"/>
        <charset val="134"/>
      </rPr>
      <t>ins_qa_post/ins_qa_answer</t>
    </r>
    <r>
      <rPr>
        <sz val="11"/>
        <color theme="1"/>
        <rFont val="Noto Sans CJK SC"/>
        <charset val="134"/>
      </rPr>
      <t>表；每日活跃帖</t>
    </r>
    <r>
      <rPr>
        <sz val="11"/>
        <color theme="1"/>
        <rFont val="宋体"/>
        <charset val="134"/>
      </rPr>
      <t>badge</t>
    </r>
    <r>
      <rPr>
        <sz val="11"/>
        <color theme="1"/>
        <rFont val="Noto Sans CJK SC"/>
        <charset val="134"/>
      </rPr>
      <t>提醒</t>
    </r>
  </si>
  <si>
    <t>社区内容管理，全文检索，违禁词过滤</t>
  </si>
  <si>
    <t>业务逻辑描述（开发侧）</t>
  </si>
  <si>
    <t>合计工时(天)</t>
  </si>
  <si>
    <t>技术难点/依赖</t>
  </si>
  <si>
    <t>负责建议</t>
  </si>
  <si>
    <r>
      <rPr>
        <b/>
        <sz val="10"/>
        <color rgb="FF1F4E79"/>
        <rFont val="Arial"/>
        <charset val="1"/>
      </rPr>
      <t>AI</t>
    </r>
    <r>
      <rPr>
        <b/>
        <sz val="10"/>
        <color rgb="FF1F4E79"/>
        <rFont val="Noto Sans CJK SC"/>
        <charset val="134"/>
      </rPr>
      <t>保障规划</t>
    </r>
  </si>
  <si>
    <r>
      <rPr>
        <b/>
        <sz val="9"/>
        <color rgb="FF000000"/>
        <rFont val="Noto Sans CJK SC"/>
        <charset val="134"/>
      </rPr>
      <t>问卷模板管理
【</t>
    </r>
    <r>
      <rPr>
        <b/>
        <sz val="9"/>
        <color rgb="FF000000"/>
        <rFont val="Arial"/>
        <charset val="1"/>
      </rPr>
      <t>V14</t>
    </r>
    <r>
      <rPr>
        <b/>
        <sz val="9"/>
        <color rgb="FF000000"/>
        <rFont val="Noto Sans CJK SC"/>
        <charset val="134"/>
      </rPr>
      <t>改造：调用统一问卷引擎】</t>
    </r>
  </si>
  <si>
    <r>
      <rPr>
        <sz val="9"/>
        <rFont val="Noto Sans CJK SC"/>
        <charset val="134"/>
      </rPr>
      <t>【</t>
    </r>
    <r>
      <rPr>
        <sz val="9"/>
        <rFont val="Arial"/>
        <charset val="1"/>
      </rPr>
      <t>V14</t>
    </r>
    <r>
      <rPr>
        <sz val="9"/>
        <rFont val="Noto Sans CJK SC"/>
        <charset val="134"/>
      </rPr>
      <t>架构改造】：原独立开发的</t>
    </r>
    <r>
      <rPr>
        <sz val="9"/>
        <rFont val="Arial"/>
        <charset val="1"/>
      </rPr>
      <t>AI</t>
    </r>
    <r>
      <rPr>
        <sz val="9"/>
        <rFont val="Noto Sans CJK SC"/>
        <charset val="134"/>
      </rPr>
      <t>问卷模板管理，改造为调用统一问卷引擎</t>
    </r>
    <r>
      <rPr>
        <sz val="9"/>
        <rFont val="Arial"/>
        <charset val="1"/>
      </rPr>
      <t>ins-questionnaire-service</t>
    </r>
    <r>
      <rPr>
        <sz val="9"/>
        <rFont val="Noto Sans CJK SC"/>
        <charset val="134"/>
      </rPr>
      <t>（</t>
    </r>
    <r>
      <rPr>
        <sz val="9"/>
        <rFont val="Arial"/>
        <charset val="1"/>
      </rPr>
      <t>scene_type=2</t>
    </r>
    <r>
      <rPr>
        <sz val="9"/>
        <rFont val="Noto Sans CJK SC"/>
        <charset val="134"/>
      </rPr>
      <t>保障规划）；前端问卷渲染组件复用健康核保</t>
    </r>
    <r>
      <rPr>
        <sz val="9"/>
        <rFont val="Arial"/>
        <charset val="1"/>
      </rPr>
      <t>H5</t>
    </r>
    <r>
      <rPr>
        <sz val="9"/>
        <rFont val="Noto Sans CJK SC"/>
        <charset val="134"/>
      </rPr>
      <t>组件；本模块工时减少约</t>
    </r>
    <r>
      <rPr>
        <sz val="9"/>
        <rFont val="Arial"/>
        <charset val="1"/>
      </rPr>
      <t>2</t>
    </r>
    <r>
      <rPr>
        <sz val="9"/>
        <rFont val="Noto Sans CJK SC"/>
        <charset val="134"/>
      </rPr>
      <t>天（引擎由</t>
    </r>
    <r>
      <rPr>
        <sz val="9"/>
        <rFont val="Arial"/>
        <charset val="1"/>
      </rPr>
      <t>ins-questionnaire-service</t>
    </r>
    <r>
      <rPr>
        <sz val="9"/>
        <rFont val="Noto Sans CJK SC"/>
        <charset val="134"/>
      </rPr>
      <t>统一实现）。原工时估算：前端</t>
    </r>
    <r>
      <rPr>
        <sz val="9"/>
        <rFont val="Arial"/>
        <charset val="1"/>
      </rPr>
      <t>2</t>
    </r>
    <r>
      <rPr>
        <sz val="9"/>
        <rFont val="Noto Sans CJK SC"/>
        <charset val="134"/>
      </rPr>
      <t>天→改为</t>
    </r>
    <r>
      <rPr>
        <sz val="9"/>
        <rFont val="Arial"/>
        <charset val="1"/>
      </rPr>
      <t>0.5</t>
    </r>
    <r>
      <rPr>
        <sz val="9"/>
        <rFont val="Noto Sans CJK SC"/>
        <charset val="134"/>
      </rPr>
      <t>天（复用组件</t>
    </r>
    <r>
      <rPr>
        <sz val="9"/>
        <rFont val="Arial"/>
        <charset val="1"/>
      </rPr>
      <t>+</t>
    </r>
    <r>
      <rPr>
        <sz val="9"/>
        <rFont val="Noto Sans CJK SC"/>
        <charset val="134"/>
      </rPr>
      <t>接入配置），后端</t>
    </r>
    <r>
      <rPr>
        <sz val="9"/>
        <rFont val="Arial"/>
        <charset val="1"/>
      </rPr>
      <t>1.5</t>
    </r>
    <r>
      <rPr>
        <sz val="9"/>
        <rFont val="Noto Sans CJK SC"/>
        <charset val="134"/>
      </rPr>
      <t>天→改为</t>
    </r>
    <r>
      <rPr>
        <sz val="9"/>
        <rFont val="Arial"/>
        <charset val="1"/>
      </rPr>
      <t>0.5</t>
    </r>
    <r>
      <rPr>
        <sz val="9"/>
        <rFont val="Noto Sans CJK SC"/>
        <charset val="134"/>
      </rPr>
      <t>天（</t>
    </r>
    <r>
      <rPr>
        <sz val="9"/>
        <rFont val="Arial"/>
        <charset val="1"/>
      </rPr>
      <t>Feign</t>
    </r>
    <r>
      <rPr>
        <sz val="9"/>
        <rFont val="Noto Sans CJK SC"/>
        <charset val="134"/>
      </rPr>
      <t>接入）。</t>
    </r>
  </si>
  <si>
    <t>动态跳题逻辑、Aviator表达式引擎</t>
  </si>
  <si>
    <t>前1+后1</t>
  </si>
  <si>
    <t>发起问卷 &amp; 填写</t>
  </si>
  <si>
    <r>
      <rPr>
        <sz val="9"/>
        <rFont val="Arial"/>
        <charset val="1"/>
      </rPr>
      <t>B</t>
    </r>
    <r>
      <rPr>
        <sz val="9"/>
        <rFont val="Noto Sans CJK SC"/>
        <charset val="134"/>
      </rPr>
      <t>端</t>
    </r>
    <r>
      <rPr>
        <sz val="9"/>
        <rFont val="Arial"/>
        <charset val="1"/>
      </rPr>
      <t>/PC</t>
    </r>
    <r>
      <rPr>
        <sz val="9"/>
        <rFont val="Noto Sans CJK SC"/>
        <charset val="134"/>
      </rPr>
      <t>为客户发起问卷，校验进行中的问卷冲突；问卷填写页实时跳题（前端按</t>
    </r>
    <r>
      <rPr>
        <sz val="9"/>
        <rFont val="Arial"/>
        <charset val="1"/>
      </rPr>
      <t>skipLogic</t>
    </r>
    <r>
      <rPr>
        <sz val="9"/>
        <rFont val="Noto Sans CJK SC"/>
        <charset val="134"/>
      </rPr>
      <t>渲染，后端二次校验）；逐题保存答案（</t>
    </r>
    <r>
      <rPr>
        <sz val="9"/>
        <rFont val="Arial"/>
        <charset val="1"/>
      </rPr>
      <t>upsert</t>
    </r>
    <r>
      <rPr>
        <sz val="9"/>
        <rFont val="Noto Sans CJK SC"/>
        <charset val="134"/>
      </rPr>
      <t>）；暂存不做必填校验；提交时校验所有必填题；更新记录</t>
    </r>
    <r>
      <rPr>
        <sz val="9"/>
        <rFont val="Arial"/>
        <charset val="1"/>
      </rPr>
      <t>status</t>
    </r>
    <r>
      <rPr>
        <sz val="9"/>
        <rFont val="Noto Sans CJK SC"/>
        <charset val="134"/>
      </rPr>
      <t>、</t>
    </r>
    <r>
      <rPr>
        <sz val="9"/>
        <rFont val="Arial"/>
        <charset val="1"/>
      </rPr>
      <t>complete_time</t>
    </r>
    <r>
      <rPr>
        <sz val="9"/>
        <rFont val="Noto Sans CJK SC"/>
        <charset val="134"/>
      </rPr>
      <t>、</t>
    </r>
    <r>
      <rPr>
        <sz val="9"/>
        <rFont val="Arial"/>
        <charset val="1"/>
      </rPr>
      <t>duration</t>
    </r>
    <r>
      <rPr>
        <sz val="9"/>
        <rFont val="Noto Sans CJK SC"/>
        <charset val="134"/>
      </rPr>
      <t>；异步</t>
    </r>
    <r>
      <rPr>
        <sz val="9"/>
        <rFont val="Arial"/>
        <charset val="1"/>
      </rPr>
      <t>MQ</t>
    </r>
    <r>
      <rPr>
        <sz val="9"/>
        <rFont val="Noto Sans CJK SC"/>
        <charset val="134"/>
      </rPr>
      <t>触发缺口计算</t>
    </r>
  </si>
  <si>
    <t>前后端双重跳题逻辑、断点续答</t>
  </si>
  <si>
    <t>保障缺口计算</t>
  </si>
  <si>
    <t>后端纯计算逻辑：读问卷答案→按question_code映射字段→读计算参数（年龄系数/覆盖倍数）→BigDecimal计算各象限目标/实际/缺口，以及寿险/重疾/意外/医疗各险种缺口（缺口为负取0）→写入ai_gap_analysis_result；PC后台提供计算参数配置管理（增删改）</t>
  </si>
  <si>
    <r>
      <rPr>
        <sz val="9"/>
        <color rgb="FF7F7F7F"/>
        <rFont val="Arial"/>
        <charset val="1"/>
      </rPr>
      <t>BigDecimal</t>
    </r>
    <r>
      <rPr>
        <sz val="9"/>
        <color rgb="FF7F7F7F"/>
        <rFont val="Noto Sans CJK SC"/>
        <charset val="134"/>
      </rPr>
      <t>精确计算、参数可配置化</t>
    </r>
  </si>
  <si>
    <t>后1</t>
  </si>
  <si>
    <t xml:space="preserve"> </t>
  </si>
  <si>
    <t>规划报告生成（PDF）</t>
  </si>
  <si>
    <t>前端发起生成请求，后端MQ异步处理：Thymeleaf渲染HTML→JFreeChart生成象限饼图/雷达图（Base64嵌入）→iText7 pdfHTML转PDF→添加页眉页脚水印→上传OSS→更新报告记录；前端轮询状态接口（3s/次）；支持下载（OSS临时URL）</t>
  </si>
  <si>
    <r>
      <rPr>
        <sz val="9"/>
        <color rgb="FF7F7F7F"/>
        <rFont val="Arial"/>
        <charset val="1"/>
      </rPr>
      <t>iText7 pdfHTML</t>
    </r>
    <r>
      <rPr>
        <sz val="9"/>
        <color rgb="FF7F7F7F"/>
        <rFont val="Noto Sans CJK SC"/>
        <charset val="134"/>
      </rPr>
      <t>、</t>
    </r>
    <r>
      <rPr>
        <sz val="9"/>
        <color rgb="FF7F7F7F"/>
        <rFont val="Arial"/>
        <charset val="1"/>
      </rPr>
      <t>JFreeChart</t>
    </r>
    <r>
      <rPr>
        <sz val="9"/>
        <color rgb="FF7F7F7F"/>
        <rFont val="Noto Sans CJK SC"/>
        <charset val="134"/>
      </rPr>
      <t>服务端图表、</t>
    </r>
    <r>
      <rPr>
        <sz val="9"/>
        <color rgb="FF7F7F7F"/>
        <rFont val="Arial"/>
        <charset val="1"/>
      </rPr>
      <t>OSS</t>
    </r>
    <r>
      <rPr>
        <sz val="9"/>
        <color rgb="FF7F7F7F"/>
        <rFont val="Noto Sans CJK SC"/>
        <charset val="134"/>
      </rPr>
      <t>上传</t>
    </r>
  </si>
  <si>
    <t>产品推荐引擎</t>
  </si>
  <si>
    <t>缺口计算完成后异步触发推荐：规则过滤（硬条件：年龄/预算/健康）→协同过滤打分（Redis预计算矩阵）→综合评分（规则40%+CF30%+性价比20%+公司权重10%）→Top10写入推荐明细；推荐理由填充模板文案；结果缓存Redis 24h</t>
  </si>
  <si>
    <r>
      <rPr>
        <sz val="9"/>
        <color rgb="FF7F7F7F"/>
        <rFont val="Arial"/>
        <charset val="1"/>
      </rPr>
      <t>Apache Mahout</t>
    </r>
    <r>
      <rPr>
        <sz val="9"/>
        <color rgb="FF7F7F7F"/>
        <rFont val="Noto Sans CJK SC"/>
        <charset val="134"/>
      </rPr>
      <t>协同过滤、定时预计算相似度矩阵、</t>
    </r>
    <r>
      <rPr>
        <sz val="9"/>
        <color rgb="FF7F7F7F"/>
        <rFont val="Arial"/>
        <charset val="1"/>
      </rPr>
      <t>Redis</t>
    </r>
    <r>
      <rPr>
        <sz val="9"/>
        <color rgb="FF7F7F7F"/>
        <rFont val="Noto Sans CJK SC"/>
        <charset val="134"/>
      </rPr>
      <t>缓存</t>
    </r>
  </si>
  <si>
    <t>方案对比</t>
  </si>
  <si>
    <t>前端最多选4个产品加入对比（含1个主推产品）；后端批量查产品结构化数据，按15个预定义维度组装对比矩阵，不同值highlight=true；保存对比记录；前端以表格渲染，差异项黄色高亮</t>
  </si>
  <si>
    <t>产品数据结构化存储、差异高亮规则</t>
  </si>
  <si>
    <t>规划方案分享</t>
  </si>
  <si>
    <t>生成分享链接（公开/密码/白名单三种模式）；ZXing生成二维码→上传OSS；H5访问时校验分享有效性（过期/超次数/密码/手机号白名单）；记录访问日志（IP+设备）；客户查看时部分字段脱敏（按data_mask配置）</t>
  </si>
  <si>
    <r>
      <rPr>
        <sz val="9"/>
        <color rgb="FF7F7F7F"/>
        <rFont val="Arial"/>
        <charset val="1"/>
      </rPr>
      <t>ZXing</t>
    </r>
    <r>
      <rPr>
        <sz val="9"/>
        <color rgb="FF7F7F7F"/>
        <rFont val="Noto Sans CJK SC"/>
        <charset val="134"/>
      </rPr>
      <t>二维码、分享链接权限控制、数据脱敏</t>
    </r>
  </si>
  <si>
    <t>疾病库维护</t>
  </si>
  <si>
    <r>
      <rPr>
        <sz val="9"/>
        <rFont val="Arial"/>
        <charset val="1"/>
      </rPr>
      <t>PC</t>
    </r>
    <r>
      <rPr>
        <sz val="9"/>
        <rFont val="Noto Sans CJK SC"/>
        <charset val="134"/>
      </rPr>
      <t>后台</t>
    </r>
    <r>
      <rPr>
        <sz val="9"/>
        <rFont val="Arial"/>
        <charset val="1"/>
      </rPr>
      <t>CRUD</t>
    </r>
    <r>
      <rPr>
        <sz val="9"/>
        <rFont val="Noto Sans CJK SC"/>
        <charset val="134"/>
      </rPr>
      <t>疾病信息：疾病编码唯一校验、</t>
    </r>
    <r>
      <rPr>
        <sz val="9"/>
        <rFont val="Arial"/>
        <charset val="1"/>
      </rPr>
      <t>ICD10</t>
    </r>
    <r>
      <rPr>
        <sz val="9"/>
        <rFont val="Noto Sans CJK SC"/>
        <charset val="134"/>
      </rPr>
      <t>编码（</t>
    </r>
    <r>
      <rPr>
        <sz val="9"/>
        <rFont val="Arial"/>
        <charset val="1"/>
      </rPr>
      <t>JSON</t>
    </r>
    <r>
      <rPr>
        <sz val="9"/>
        <rFont val="Noto Sans CJK SC"/>
        <charset val="134"/>
      </rPr>
      <t>数组）、严重程度、默认核保等级；别名管理（弹框增删）；状态启用</t>
    </r>
    <r>
      <rPr>
        <sz val="9"/>
        <rFont val="Arial"/>
        <charset val="1"/>
      </rPr>
      <t>/</t>
    </r>
    <r>
      <rPr>
        <sz val="9"/>
        <rFont val="Noto Sans CJK SC"/>
        <charset val="134"/>
      </rPr>
      <t>停用；数据变更时同步</t>
    </r>
    <r>
      <rPr>
        <sz val="9"/>
        <rFont val="Arial"/>
        <charset val="1"/>
      </rPr>
      <t>Elasticsearch</t>
    </r>
    <r>
      <rPr>
        <sz val="9"/>
        <rFont val="Noto Sans CJK SC"/>
        <charset val="134"/>
      </rPr>
      <t>（</t>
    </r>
    <r>
      <rPr>
        <sz val="9"/>
        <rFont val="Arial"/>
        <charset val="1"/>
      </rPr>
      <t>ik_max_word</t>
    </r>
    <r>
      <rPr>
        <sz val="9"/>
        <rFont val="Noto Sans CJK SC"/>
        <charset val="134"/>
      </rPr>
      <t>分词）；支持</t>
    </r>
    <r>
      <rPr>
        <sz val="9"/>
        <rFont val="Arial"/>
        <charset val="1"/>
      </rPr>
      <t>ES</t>
    </r>
    <r>
      <rPr>
        <sz val="9"/>
        <rFont val="Noto Sans CJK SC"/>
        <charset val="134"/>
      </rPr>
      <t>全文搜索接口（前端健康告知搜索用）；提供全量同步</t>
    </r>
    <r>
      <rPr>
        <sz val="9"/>
        <rFont val="Arial"/>
        <charset val="1"/>
      </rPr>
      <t>ES</t>
    </r>
    <r>
      <rPr>
        <sz val="9"/>
        <rFont val="Noto Sans CJK SC"/>
        <charset val="134"/>
      </rPr>
      <t>管理接口；支持</t>
    </r>
    <r>
      <rPr>
        <sz val="9"/>
        <rFont val="Arial"/>
        <charset val="1"/>
      </rPr>
      <t>Excel</t>
    </r>
    <r>
      <rPr>
        <sz val="9"/>
        <rFont val="Noto Sans CJK SC"/>
        <charset val="134"/>
      </rPr>
      <t>批量导入</t>
    </r>
  </si>
  <si>
    <r>
      <rPr>
        <sz val="9"/>
        <color rgb="FF7F7F7F"/>
        <rFont val="Arial"/>
        <charset val="1"/>
      </rPr>
      <t>Elasticsearch</t>
    </r>
    <r>
      <rPr>
        <sz val="9"/>
        <color rgb="FF7F7F7F"/>
        <rFont val="Noto Sans CJK SC"/>
        <charset val="134"/>
      </rPr>
      <t>中文分词（</t>
    </r>
    <r>
      <rPr>
        <sz val="9"/>
        <color rgb="FF7F7F7F"/>
        <rFont val="Arial"/>
        <charset val="1"/>
      </rPr>
      <t>ik_max_word</t>
    </r>
    <r>
      <rPr>
        <sz val="9"/>
        <color rgb="FF7F7F7F"/>
        <rFont val="Noto Sans CJK SC"/>
        <charset val="134"/>
      </rPr>
      <t>）、同步策略</t>
    </r>
  </si>
  <si>
    <t>核保规则配置</t>
  </si>
  <si>
    <r>
      <rPr>
        <sz val="9"/>
        <rFont val="Arial"/>
        <charset val="1"/>
      </rPr>
      <t>PC</t>
    </r>
    <r>
      <rPr>
        <sz val="9"/>
        <rFont val="Noto Sans CJK SC"/>
        <charset val="134"/>
      </rPr>
      <t>后台可视化决策树编辑器（</t>
    </r>
    <r>
      <rPr>
        <sz val="9"/>
        <rFont val="Arial"/>
        <charset val="1"/>
      </rPr>
      <t>AntV X6</t>
    </r>
    <r>
      <rPr>
        <sz val="9"/>
        <rFont val="Noto Sans CJK SC"/>
        <charset val="134"/>
      </rPr>
      <t>）：判断节点（字段</t>
    </r>
    <r>
      <rPr>
        <sz val="9"/>
        <rFont val="Arial"/>
        <charset val="1"/>
      </rPr>
      <t>+</t>
    </r>
    <r>
      <rPr>
        <sz val="9"/>
        <rFont val="Noto Sans CJK SC"/>
        <charset val="134"/>
      </rPr>
      <t>运算符</t>
    </r>
    <r>
      <rPr>
        <sz val="9"/>
        <rFont val="Arial"/>
        <charset val="1"/>
      </rPr>
      <t>+</t>
    </r>
    <r>
      <rPr>
        <sz val="9"/>
        <rFont val="Noto Sans CJK SC"/>
        <charset val="134"/>
      </rPr>
      <t>值</t>
    </r>
    <r>
      <rPr>
        <sz val="9"/>
        <rFont val="Arial"/>
        <charset val="1"/>
      </rPr>
      <t>+</t>
    </r>
    <r>
      <rPr>
        <sz val="9"/>
        <rFont val="Noto Sans CJK SC"/>
        <charset val="134"/>
      </rPr>
      <t>提问文本）、结论节点（核保等级</t>
    </r>
    <r>
      <rPr>
        <sz val="9"/>
        <rFont val="Arial"/>
        <charset val="1"/>
      </rPr>
      <t>+</t>
    </r>
    <r>
      <rPr>
        <sz val="9"/>
        <rFont val="Noto Sans CJK SC"/>
        <charset val="134"/>
      </rPr>
      <t>加费比例</t>
    </r>
    <r>
      <rPr>
        <sz val="9"/>
        <rFont val="Arial"/>
        <charset val="1"/>
      </rPr>
      <t>/</t>
    </r>
    <r>
      <rPr>
        <sz val="9"/>
        <rFont val="Noto Sans CJK SC"/>
        <charset val="134"/>
      </rPr>
      <t>除外</t>
    </r>
    <r>
      <rPr>
        <sz val="9"/>
        <rFont val="Arial"/>
        <charset val="1"/>
      </rPr>
      <t>/</t>
    </r>
    <r>
      <rPr>
        <sz val="9"/>
        <rFont val="Noto Sans CJK SC"/>
        <charset val="134"/>
      </rPr>
      <t>延期时长）；保存时将</t>
    </r>
    <r>
      <rPr>
        <sz val="9"/>
        <rFont val="Arial"/>
        <charset val="1"/>
      </rPr>
      <t>tree_json</t>
    </r>
    <r>
      <rPr>
        <sz val="9"/>
        <rFont val="Noto Sans CJK SC"/>
        <charset val="134"/>
      </rPr>
      <t>转换为</t>
    </r>
    <r>
      <rPr>
        <sz val="9"/>
        <rFont val="Arial"/>
        <charset val="1"/>
      </rPr>
      <t>Drools DRL</t>
    </r>
    <r>
      <rPr>
        <sz val="9"/>
        <rFont val="Noto Sans CJK SC"/>
        <charset val="134"/>
      </rPr>
      <t>存入数据库；同一产品只允许一棵已发布规则树（发布时旧版归档）；支持测试模式（模拟问答验证走向）；热加载</t>
    </r>
    <r>
      <rPr>
        <sz val="9"/>
        <rFont val="Arial"/>
        <charset val="1"/>
      </rPr>
      <t>KieContainer</t>
    </r>
    <r>
      <rPr>
        <sz val="9"/>
        <rFont val="Noto Sans CJK SC"/>
        <charset val="134"/>
      </rPr>
      <t>无需重启</t>
    </r>
  </si>
  <si>
    <r>
      <rPr>
        <sz val="9"/>
        <color rgb="FF7F7F7F"/>
        <rFont val="Arial"/>
        <charset val="1"/>
      </rPr>
      <t>AntV X6</t>
    </r>
    <r>
      <rPr>
        <sz val="9"/>
        <color rgb="FF7F7F7F"/>
        <rFont val="Noto Sans CJK SC"/>
        <charset val="134"/>
      </rPr>
      <t>决策树、</t>
    </r>
    <r>
      <rPr>
        <sz val="9"/>
        <color rgb="FF7F7F7F"/>
        <rFont val="Arial"/>
        <charset val="1"/>
      </rPr>
      <t>Drools</t>
    </r>
    <r>
      <rPr>
        <sz val="9"/>
        <color rgb="FF7F7F7F"/>
        <rFont val="Noto Sans CJK SC"/>
        <charset val="134"/>
      </rPr>
      <t>规则引擎</t>
    </r>
    <r>
      <rPr>
        <sz val="9"/>
        <color rgb="FF7F7F7F"/>
        <rFont val="Arial"/>
        <charset val="1"/>
      </rPr>
      <t>+DRL</t>
    </r>
    <r>
      <rPr>
        <sz val="9"/>
        <color rgb="FF7F7F7F"/>
        <rFont val="Noto Sans CJK SC"/>
        <charset val="134"/>
      </rPr>
      <t>热加载、</t>
    </r>
    <r>
      <rPr>
        <sz val="9"/>
        <color rgb="FF7F7F7F"/>
        <rFont val="Arial"/>
        <charset val="1"/>
      </rPr>
      <t>KieContainer</t>
    </r>
  </si>
  <si>
    <t>前1+后2</t>
  </si>
  <si>
    <t>智能问答（核保）</t>
  </si>
  <si>
    <t>投保健康告知环节：用户输入疾病名称→ES搜索→选择疾病→创建问答会话；从规则树根节点出发，每次提交答案后用Drools推理返回下一节点（判断节点=问题/结论节点=终止）；支持返回上一题（软删除最后一条记录）；多疾病时逐个创建会话；WebSocket实时响应</t>
  </si>
  <si>
    <r>
      <rPr>
        <sz val="9"/>
        <color rgb="FF7F7F7F"/>
        <rFont val="Arial"/>
        <charset val="1"/>
      </rPr>
      <t>Drools</t>
    </r>
    <r>
      <rPr>
        <sz val="9"/>
        <color rgb="FF7F7F7F"/>
        <rFont val="Noto Sans CJK SC"/>
        <charset val="134"/>
      </rPr>
      <t>动态推理、决策树遍历</t>
    </r>
  </si>
  <si>
    <t>核保结论</t>
  </si>
  <si>
    <t>单疾病会话完成时写核保结论；同一申请多疾病时综合取最严苛（拒保&gt;转人工&gt;延期&gt;加费&gt;除外&gt;标准体）；PC后台核保记录查询（含完整问答时间线）；结论关联投保申请状态变更</t>
  </si>
  <si>
    <t>多疾病综合结论算法</t>
  </si>
  <si>
    <t>人工核保工单</t>
  </si>
  <si>
    <t>转人工时自动创建工单（UW+日期+序号），按负载分配给核保专员；PC后台工单列表（状态/优先级筛选）；工单处理页展示客户信息+问答记录+补充附件（OSS上传）；提交结论后更新核保结论表+通知代理人；SLA超时站内消息告警（Quartz定时检测）</t>
  </si>
  <si>
    <t>工单SLA定时检测、Flowable工作流（可选）</t>
  </si>
  <si>
    <t>智能客服</t>
  </si>
  <si>
    <t>知识库配置</t>
  </si>
  <si>
    <t>树形分类管理（最多3层，无知识条目才能删分类）；知识条目CRUD含审核流（草稿→审核中→已发布→已下线）；驳回填写原因；发布/下线时同步更新Elasticsearch；相似问题管理（手动+系统学习待确认）；知识点赞/踩统计；未匹配问题自动收集</t>
  </si>
  <si>
    <r>
      <rPr>
        <sz val="9"/>
        <color rgb="FF7F7F7F"/>
        <rFont val="Arial"/>
        <charset val="1"/>
      </rPr>
      <t>Elasticsearch</t>
    </r>
    <r>
      <rPr>
        <sz val="9"/>
        <color rgb="FF7F7F7F"/>
        <rFont val="Noto Sans CJK SC"/>
        <charset val="134"/>
      </rPr>
      <t>发布同步、知识审核流程</t>
    </r>
  </si>
  <si>
    <t>意图识别</t>
  </si>
  <si>
    <t>调阿里云NLP服务识别用户意图（6类+UNKNOWN）并提取实体；置信度&lt;0.3归为UNKNOWN；识别结果缓存Redis（sessionId+msgId，TTL=1h）；调用失败降级为关键词匹配；记录识别日志用于优化；连续3次UNKNOWN自动触发转人工</t>
  </si>
  <si>
    <t>阿里云NLP API集成、降级容错机制</t>
  </si>
  <si>
    <t>后2</t>
  </si>
  <si>
    <t>对话管理</t>
  </si>
  <si>
    <r>
      <rPr>
        <sz val="9"/>
        <rFont val="Arial"/>
        <charset val="1"/>
      </rPr>
      <t>WebSocket</t>
    </r>
    <r>
      <rPr>
        <sz val="9"/>
        <rFont val="Noto Sans CJK SC"/>
        <charset val="134"/>
      </rPr>
      <t>长连接推送机器人回复；会话创建（首次进入无活跃会话）</t>
    </r>
    <r>
      <rPr>
        <sz val="9"/>
        <rFont val="Arial"/>
        <charset val="1"/>
      </rPr>
      <t>/</t>
    </r>
    <r>
      <rPr>
        <sz val="9"/>
        <rFont val="Noto Sans CJK SC"/>
        <charset val="134"/>
      </rPr>
      <t>恢复（</t>
    </r>
    <r>
      <rPr>
        <sz val="9"/>
        <rFont val="Arial"/>
        <charset val="1"/>
      </rPr>
      <t>1h</t>
    </r>
    <r>
      <rPr>
        <sz val="9"/>
        <rFont val="Noto Sans CJK SC"/>
        <charset val="134"/>
      </rPr>
      <t>内有历史）；根据意图执行策略（</t>
    </r>
    <r>
      <rPr>
        <sz val="9"/>
        <rFont val="Arial"/>
        <charset val="1"/>
      </rPr>
      <t>ES</t>
    </r>
    <r>
      <rPr>
        <sz val="9"/>
        <rFont val="Noto Sans CJK SC"/>
        <charset val="134"/>
      </rPr>
      <t>检索知识库</t>
    </r>
    <r>
      <rPr>
        <sz val="9"/>
        <rFont val="Arial"/>
        <charset val="1"/>
      </rPr>
      <t>/</t>
    </r>
    <r>
      <rPr>
        <sz val="9"/>
        <rFont val="Noto Sans CJK SC"/>
        <charset val="134"/>
      </rPr>
      <t>引导提供保单号</t>
    </r>
    <r>
      <rPr>
        <sz val="9"/>
        <rFont val="Arial"/>
        <charset val="1"/>
      </rPr>
      <t>/</t>
    </r>
    <r>
      <rPr>
        <sz val="9"/>
        <rFont val="Noto Sans CJK SC"/>
        <charset val="134"/>
      </rPr>
      <t>投诉直转人工）；</t>
    </r>
    <r>
      <rPr>
        <sz val="9"/>
        <rFont val="Arial"/>
        <charset val="1"/>
      </rPr>
      <t>ES</t>
    </r>
    <r>
      <rPr>
        <sz val="9"/>
        <rFont val="Noto Sans CJK SC"/>
        <charset val="134"/>
      </rPr>
      <t>相似度≤</t>
    </r>
    <r>
      <rPr>
        <sz val="9"/>
        <rFont val="Arial"/>
        <charset val="1"/>
      </rPr>
      <t>0.5</t>
    </r>
    <r>
      <rPr>
        <sz val="9"/>
        <rFont val="Noto Sans CJK SC"/>
        <charset val="134"/>
      </rPr>
      <t>时引导转人工；上下文存</t>
    </r>
    <r>
      <rPr>
        <sz val="9"/>
        <rFont val="Arial"/>
        <charset val="1"/>
      </rPr>
      <t>Redis</t>
    </r>
    <r>
      <rPr>
        <sz val="9"/>
        <rFont val="Noto Sans CJK SC"/>
        <charset val="134"/>
      </rPr>
      <t>（最近</t>
    </r>
    <r>
      <rPr>
        <sz val="9"/>
        <rFont val="Arial"/>
        <charset val="1"/>
      </rPr>
      <t>5</t>
    </r>
    <r>
      <rPr>
        <sz val="9"/>
        <rFont val="Noto Sans CJK SC"/>
        <charset val="134"/>
      </rPr>
      <t>条</t>
    </r>
    <r>
      <rPr>
        <sz val="9"/>
        <rFont val="Arial"/>
        <charset val="1"/>
      </rPr>
      <t>+</t>
    </r>
    <r>
      <rPr>
        <sz val="9"/>
        <rFont val="Noto Sans CJK SC"/>
        <charset val="134"/>
      </rPr>
      <t>实体，</t>
    </r>
    <r>
      <rPr>
        <sz val="9"/>
        <rFont val="Arial"/>
        <charset val="1"/>
      </rPr>
      <t>TTL=1h</t>
    </r>
    <r>
      <rPr>
        <sz val="9"/>
        <rFont val="Noto Sans CJK SC"/>
        <charset val="134"/>
      </rPr>
      <t>）；满意度评价（赞</t>
    </r>
    <r>
      <rPr>
        <sz val="9"/>
        <rFont val="Arial"/>
        <charset val="1"/>
      </rPr>
      <t>/</t>
    </r>
    <r>
      <rPr>
        <sz val="9"/>
        <rFont val="Noto Sans CJK SC"/>
        <charset val="134"/>
      </rPr>
      <t>踩）更新消息记录</t>
    </r>
  </si>
  <si>
    <r>
      <rPr>
        <sz val="9"/>
        <color rgb="FF7F7F7F"/>
        <rFont val="Arial"/>
        <charset val="1"/>
      </rPr>
      <t>WebSocket</t>
    </r>
    <r>
      <rPr>
        <sz val="9"/>
        <color rgb="FF7F7F7F"/>
        <rFont val="Noto Sans CJK SC"/>
        <charset val="134"/>
      </rPr>
      <t>对话推送、</t>
    </r>
    <r>
      <rPr>
        <sz val="9"/>
        <color rgb="FF7F7F7F"/>
        <rFont val="Arial"/>
        <charset val="1"/>
      </rPr>
      <t>Redis</t>
    </r>
    <r>
      <rPr>
        <sz val="9"/>
        <color rgb="FF7F7F7F"/>
        <rFont val="Noto Sans CJK SC"/>
        <charset val="134"/>
      </rPr>
      <t>上下文、</t>
    </r>
    <r>
      <rPr>
        <sz val="9"/>
        <color rgb="FF7F7F7F"/>
        <rFont val="Arial"/>
        <charset val="1"/>
      </rPr>
      <t>ES</t>
    </r>
    <r>
      <rPr>
        <sz val="9"/>
        <color rgb="FF7F7F7F"/>
        <rFont val="Noto Sans CJK SC"/>
        <charset val="134"/>
      </rPr>
      <t>语义检索</t>
    </r>
  </si>
  <si>
    <t>转人工客服</t>
  </si>
  <si>
    <t>触发条件：连续3次UNKNOWN/用户主动点击/投诉意图；创建人工工单（CS+日期+序号），负载均衡分配在线客服；WebSocket推送排队位置给用户；腾讯云IM SDK实现客服聊天窗口；历史机器人对话同步给客服（只读）；结束会话后推送满意度评价弹框（1-5星）；客服在线状态管理（在线/忙碌/离线）</t>
  </si>
  <si>
    <t>腾讯云IM SDK集成、WebSocket排队通知</t>
  </si>
  <si>
    <t>前2+后2</t>
  </si>
  <si>
    <t>数据分析</t>
  </si>
  <si>
    <t>用户画像</t>
  </si>
  <si>
    <t>多维度标签体系（基础属性/财富等级/保障状态/续保预警/活跃度/产品偏好）；每日定时任务批量刷新标签（基础01:00、活跃度01:30、保单02:00、快照03:00）；画像快照JSON聚合存储；PC后台客户画像详情页（标签云+投保偏好饼图+活跃度趋势+保障雷达图）；按标签多维筛选+导出</t>
  </si>
  <si>
    <t>多维标签定时计算、雷达图/饼图数据聚合</t>
  </si>
  <si>
    <t>流失预警</t>
  </si>
  <si>
    <t>每日02:30定时任务：提取14个特征变量→jpmml-evaluator调用XGBoost PMML模型→写预测结果→更新用户标签；PC后台预警看板（高/中/低风险人数统计）+预警名单列表（按风险等级/代理人/干预状态筛选）；记录干预（触达方式/内容/客户意向）更新干预状态；模型版本管理（上传PMML+激活）</t>
  </si>
  <si>
    <r>
      <rPr>
        <sz val="9"/>
        <color rgb="FF7F7F7F"/>
        <rFont val="Arial"/>
        <charset val="1"/>
      </rPr>
      <t>jpmml-evaluator</t>
    </r>
    <r>
      <rPr>
        <sz val="9"/>
        <color rgb="FF7F7F7F"/>
        <rFont val="Noto Sans CJK SC"/>
        <charset val="134"/>
      </rPr>
      <t>执行</t>
    </r>
    <r>
      <rPr>
        <sz val="9"/>
        <color rgb="FF7F7F7F"/>
        <rFont val="Arial"/>
        <charset val="1"/>
      </rPr>
      <t>PMML</t>
    </r>
    <r>
      <rPr>
        <sz val="9"/>
        <color rgb="FF7F7F7F"/>
        <rFont val="Noto Sans CJK SC"/>
        <charset val="134"/>
      </rPr>
      <t>模型、模型版本管理</t>
    </r>
  </si>
  <si>
    <t>精准营销</t>
  </si>
  <si>
    <r>
      <rPr>
        <sz val="9"/>
        <rFont val="Arial"/>
        <charset val="1"/>
      </rPr>
      <t>3</t>
    </r>
    <r>
      <rPr>
        <sz val="9"/>
        <rFont val="Noto Sans CJK SC"/>
        <charset val="134"/>
      </rPr>
      <t>步创建营销活动（基本信息</t>
    </r>
    <r>
      <rPr>
        <sz val="9"/>
        <rFont val="Arial"/>
        <charset val="1"/>
      </rPr>
      <t>+</t>
    </r>
    <r>
      <rPr>
        <sz val="9"/>
        <rFont val="Noto Sans CJK SC"/>
        <charset val="134"/>
      </rPr>
      <t>人群圈定</t>
    </r>
    <r>
      <rPr>
        <sz val="9"/>
        <rFont val="Arial"/>
        <charset val="1"/>
      </rPr>
      <t>+</t>
    </r>
    <r>
      <rPr>
        <sz val="9"/>
        <rFont val="Noto Sans CJK SC"/>
        <charset val="134"/>
      </rPr>
      <t>推荐产品）；人群圈定支持标签多条件组合筛选（实时预估人数）</t>
    </r>
    <r>
      <rPr>
        <sz val="9"/>
        <rFont val="Arial"/>
        <charset val="1"/>
      </rPr>
      <t>/</t>
    </r>
    <r>
      <rPr>
        <sz val="9"/>
        <rFont val="Noto Sans CJK SC"/>
        <charset val="134"/>
      </rPr>
      <t>上传</t>
    </r>
    <r>
      <rPr>
        <sz val="9"/>
        <rFont val="Arial"/>
        <charset val="1"/>
      </rPr>
      <t>Excel</t>
    </r>
    <r>
      <rPr>
        <sz val="9"/>
        <rFont val="Noto Sans CJK SC"/>
        <charset val="134"/>
      </rPr>
      <t>名单；触达渠道：短信（阿里云</t>
    </r>
    <r>
      <rPr>
        <sz val="9"/>
        <rFont val="Arial"/>
        <charset val="1"/>
      </rPr>
      <t>SMS</t>
    </r>
    <r>
      <rPr>
        <sz val="9"/>
        <rFont val="Noto Sans CJK SC"/>
        <charset val="134"/>
      </rPr>
      <t>）</t>
    </r>
    <r>
      <rPr>
        <sz val="9"/>
        <rFont val="Arial"/>
        <charset val="1"/>
      </rPr>
      <t>/APP</t>
    </r>
    <r>
      <rPr>
        <sz val="9"/>
        <rFont val="Noto Sans CJK SC"/>
        <charset val="134"/>
      </rPr>
      <t>推送（极光）</t>
    </r>
    <r>
      <rPr>
        <sz val="9"/>
        <rFont val="Arial"/>
        <charset val="1"/>
      </rPr>
      <t>/</t>
    </r>
    <r>
      <rPr>
        <sz val="9"/>
        <rFont val="Noto Sans CJK SC"/>
        <charset val="134"/>
      </rPr>
      <t>站内消息；活动开始时间到达后</t>
    </r>
    <r>
      <rPr>
        <sz val="9"/>
        <rFont val="Arial"/>
        <charset val="1"/>
      </rPr>
      <t>Quartz</t>
    </r>
    <r>
      <rPr>
        <sz val="9"/>
        <rFont val="Noto Sans CJK SC"/>
        <charset val="134"/>
      </rPr>
      <t>触发批量触达，记录发送日志；带活动参数跟踪点击；投保来源标记统计转化率；效果看板（触达率</t>
    </r>
    <r>
      <rPr>
        <sz val="9"/>
        <rFont val="Arial"/>
        <charset val="1"/>
      </rPr>
      <t>/</t>
    </r>
    <r>
      <rPr>
        <sz val="9"/>
        <rFont val="Noto Sans CJK SC"/>
        <charset val="134"/>
      </rPr>
      <t>点击率</t>
    </r>
    <r>
      <rPr>
        <sz val="9"/>
        <rFont val="Arial"/>
        <charset val="1"/>
      </rPr>
      <t>/</t>
    </r>
    <r>
      <rPr>
        <sz val="9"/>
        <rFont val="Noto Sans CJK SC"/>
        <charset val="134"/>
      </rPr>
      <t>转化率）</t>
    </r>
  </si>
  <si>
    <t>多渠道触达（阿里云SMS+极光推送）、活动来源追踪</t>
  </si>
  <si>
    <r>
      <rPr>
        <sz val="10"/>
        <rFont val="Arial"/>
        <charset val="1"/>
      </rPr>
      <t>RFM</t>
    </r>
    <r>
      <rPr>
        <sz val="10"/>
        <rFont val="Noto Sans CJK SC"/>
        <charset val="134"/>
      </rPr>
      <t>客户价值分析</t>
    </r>
  </si>
  <si>
    <t>每月1日03:30全量重算：查分析期内投保记录→计算R（距上次投保天数）/F（投保次数）/M（累计保费）原始值→R和F按固定区间打分，M按全租户五分位数打分→加权综合得分→S/A/B/C/D等级→与上月对比生成等级变化记录→降级客户推送站内消息给代理人；PC看板（等级分布饼图+变化趋势折线图）+明细列表（按等级筛选/导出）；RFM权重配置管理</t>
  </si>
  <si>
    <t>五分位数M值归一化、月度全量重算、等级变化通知</t>
  </si>
  <si>
    <t>双录系统</t>
  </si>
  <si>
    <t>双录触发判断</t>
  </si>
  <si>
    <t>投保提交时后端自动判断：年龄≥60岁/趸交≥5万/期交≥2万/新型产品/保司要求，满足任意一条写入订单need_double_record=true并返回前端触发标记</t>
  </si>
  <si>
    <t>话术模板配置</t>
  </si>
  <si>
    <r>
      <rPr>
        <sz val="9"/>
        <rFont val="Arial"/>
        <charset val="1"/>
      </rPr>
      <t>PC</t>
    </r>
    <r>
      <rPr>
        <sz val="9"/>
        <rFont val="Noto Sans CJK SC"/>
        <charset val="134"/>
      </rPr>
      <t>端管理话术模板：支持新增</t>
    </r>
    <r>
      <rPr>
        <sz val="9"/>
        <rFont val="Arial"/>
        <charset val="1"/>
      </rPr>
      <t>/</t>
    </r>
    <r>
      <rPr>
        <sz val="9"/>
        <rFont val="Noto Sans CJK SC"/>
        <charset val="134"/>
      </rPr>
      <t>编辑</t>
    </r>
    <r>
      <rPr>
        <sz val="9"/>
        <rFont val="Arial"/>
        <charset val="1"/>
      </rPr>
      <t>/</t>
    </r>
    <r>
      <rPr>
        <sz val="9"/>
        <rFont val="Noto Sans CJK SC"/>
        <charset val="134"/>
      </rPr>
      <t>删除，可视化节点编排（上移</t>
    </r>
    <r>
      <rPr>
        <sz val="9"/>
        <rFont val="Arial"/>
        <charset val="1"/>
      </rPr>
      <t>/</t>
    </r>
    <r>
      <rPr>
        <sz val="9"/>
        <rFont val="Noto Sans CJK SC"/>
        <charset val="134"/>
      </rPr>
      <t>下移</t>
    </r>
    <r>
      <rPr>
        <sz val="9"/>
        <rFont val="Arial"/>
        <charset val="1"/>
      </rPr>
      <t>/</t>
    </r>
    <r>
      <rPr>
        <sz val="9"/>
        <rFont val="Noto Sans CJK SC"/>
        <charset val="134"/>
      </rPr>
      <t>删除节点），每节点配置话术内容</t>
    </r>
    <r>
      <rPr>
        <sz val="9"/>
        <rFont val="Arial"/>
        <charset val="1"/>
      </rPr>
      <t>/</t>
    </r>
    <r>
      <rPr>
        <sz val="9"/>
        <rFont val="Noto Sans CJK SC"/>
        <charset val="134"/>
      </rPr>
      <t>关键词</t>
    </r>
    <r>
      <rPr>
        <sz val="9"/>
        <rFont val="Arial"/>
        <charset val="1"/>
      </rPr>
      <t>/</t>
    </r>
    <r>
      <rPr>
        <sz val="9"/>
        <rFont val="Noto Sans CJK SC"/>
        <charset val="134"/>
      </rPr>
      <t>禁用词</t>
    </r>
    <r>
      <rPr>
        <sz val="9"/>
        <rFont val="Arial"/>
        <charset val="1"/>
      </rPr>
      <t>/</t>
    </r>
    <r>
      <rPr>
        <sz val="9"/>
        <rFont val="Noto Sans CJK SC"/>
        <charset val="134"/>
      </rPr>
      <t>最短时长</t>
    </r>
    <r>
      <rPr>
        <sz val="9"/>
        <rFont val="Arial"/>
        <charset val="1"/>
      </rPr>
      <t>/</t>
    </r>
    <r>
      <rPr>
        <sz val="9"/>
        <rFont val="Noto Sans CJK SC"/>
        <charset val="134"/>
      </rPr>
      <t>节点类型（必读</t>
    </r>
    <r>
      <rPr>
        <sz val="9"/>
        <rFont val="Arial"/>
        <charset val="1"/>
      </rPr>
      <t>/</t>
    </r>
    <r>
      <rPr>
        <sz val="9"/>
        <rFont val="Noto Sans CJK SC"/>
        <charset val="134"/>
      </rPr>
      <t>选读），保存时校验</t>
    </r>
    <r>
      <rPr>
        <sz val="9"/>
        <rFont val="Arial"/>
        <charset val="1"/>
      </rPr>
      <t>template_code</t>
    </r>
    <r>
      <rPr>
        <sz val="9"/>
        <rFont val="Noto Sans CJK SC"/>
        <charset val="134"/>
      </rPr>
      <t>唯一、至少</t>
    </r>
    <r>
      <rPr>
        <sz val="9"/>
        <rFont val="Arial"/>
        <charset val="1"/>
      </rPr>
      <t>1</t>
    </r>
    <r>
      <rPr>
        <sz val="9"/>
        <rFont val="Noto Sans CJK SC"/>
        <charset val="134"/>
      </rPr>
      <t>个</t>
    </r>
    <r>
      <rPr>
        <sz val="9"/>
        <rFont val="Arial"/>
        <charset val="1"/>
      </rPr>
      <t>MUST</t>
    </r>
    <r>
      <rPr>
        <sz val="9"/>
        <rFont val="Noto Sans CJK SC"/>
        <charset val="134"/>
      </rPr>
      <t>节点</t>
    </r>
  </si>
  <si>
    <t>音视频通话（RTC）</t>
  </si>
  <si>
    <t>业务员App/PC发起双录后，调用声网SDK创建RTC房间，生成rtcRoomId和客户邀请链接（30分钟有效JWT），发送短信邀请客户，双方进入RTC房间实时互动，界面左侧展示话术节点、右侧展示视频画面</t>
  </si>
  <si>
    <t>服务端录制功能</t>
  </si>
  <si>
    <t>调用声网Cloud Recording API启动服务端合流录制，录制完成后通过Webhook回调获取视频URL，视频上传至OSS私有Bucket，命名规范：{tenant_id}/double-record/{yyyy}/{MM}/{record_code}_video.mp4</t>
  </si>
  <si>
    <t>话术节点推进</t>
  </si>
  <si>
    <t>双录进行中：每个节点有最短时长倒计时，未达时「完成本节点」按钮置灰；必读节点按顺序锁定，未完成不可跳过；节点完成时调用接口更新node_completed数组和current_node</t>
  </si>
  <si>
    <t>结束双录</t>
  </si>
  <si>
    <t>所有节点完成后点击「结束双录」；后端校验所有MUST节点已完成、总时长≥min_duration；更新status=2；发MQ消息触发异步AI质检</t>
  </si>
  <si>
    <t>断点续录</t>
  </si>
  <si>
    <t>支持3种重录场景：网络中断/主动重录/质检不通过。重录时从指定节点开始，清除该节点后的完成记录；retry_count≤max_retry可直接重录，超限需主管通过/admin-api接口审批</t>
  </si>
  <si>
    <t>录制回放</t>
  </si>
  <si>
    <t>质检员/管理员查看双录视频时，后端对OSS私有文件生成2小时有效临时签名URL返回前端；前端用Aliplayer播放，支持倍速（0.5x/1x/1.5x/2x）、ASR字幕、进度条违规红点标记</t>
  </si>
  <si>
    <r>
      <rPr>
        <b/>
        <sz val="10"/>
        <rFont val="Arial"/>
        <charset val="1"/>
      </rPr>
      <t>AI</t>
    </r>
    <r>
      <rPr>
        <b/>
        <sz val="10"/>
        <rFont val="Noto Sans CJK SC"/>
        <charset val="134"/>
      </rPr>
      <t>质检</t>
    </r>
  </si>
  <si>
    <r>
      <rPr>
        <sz val="9"/>
        <rFont val="Arial"/>
        <charset val="1"/>
      </rPr>
      <t>AI</t>
    </r>
    <r>
      <rPr>
        <sz val="9"/>
        <rFont val="Noto Sans CJK SC"/>
        <charset val="134"/>
      </rPr>
      <t>质检任务调度</t>
    </r>
  </si>
  <si>
    <r>
      <rPr>
        <sz val="9"/>
        <rFont val="Arial"/>
        <charset val="1"/>
      </rPr>
      <t>MQ</t>
    </r>
    <r>
      <rPr>
        <sz val="9"/>
        <rFont val="Noto Sans CJK SC"/>
        <charset val="134"/>
      </rPr>
      <t>消费</t>
    </r>
    <r>
      <rPr>
        <sz val="9"/>
        <rFont val="Arial"/>
        <charset val="1"/>
      </rPr>
      <t>double_record_completed</t>
    </r>
    <r>
      <rPr>
        <sz val="9"/>
        <rFont val="Noto Sans CJK SC"/>
        <charset val="134"/>
      </rPr>
      <t>消息，创建</t>
    </r>
    <r>
      <rPr>
        <sz val="9"/>
        <rFont val="Arial"/>
        <charset val="1"/>
      </rPr>
      <t>ins_double_record_check</t>
    </r>
    <r>
      <rPr>
        <sz val="9"/>
        <rFont val="Noto Sans CJK SC"/>
        <charset val="134"/>
      </rPr>
      <t>记录（</t>
    </r>
    <r>
      <rPr>
        <sz val="9"/>
        <rFont val="Arial"/>
        <charset val="1"/>
      </rPr>
      <t>check_type=1</t>
    </r>
    <r>
      <rPr>
        <sz val="9"/>
        <rFont val="Noto Sans CJK SC"/>
        <charset val="134"/>
      </rPr>
      <t>），并行触发</t>
    </r>
    <r>
      <rPr>
        <sz val="9"/>
        <rFont val="Arial"/>
        <charset val="1"/>
      </rPr>
      <t>ASR/</t>
    </r>
    <r>
      <rPr>
        <sz val="9"/>
        <rFont val="Noto Sans CJK SC"/>
        <charset val="134"/>
      </rPr>
      <t>人脸</t>
    </r>
    <r>
      <rPr>
        <sz val="9"/>
        <rFont val="Arial"/>
        <charset val="1"/>
      </rPr>
      <t>/</t>
    </r>
    <r>
      <rPr>
        <sz val="9"/>
        <rFont val="Noto Sans CJK SC"/>
        <charset val="134"/>
      </rPr>
      <t>证件三路检测任务，全部完成后汇总得分，更新双录主记录状态</t>
    </r>
  </si>
  <si>
    <t>语音识别（ASR）</t>
  </si>
  <si>
    <t>调用阿里云录音文件识别API，提交audio_url获取taskId，定时任务每30秒轮询结果；识别完成后将asr_text、confidence写库，触发关键词检测流程；识别失败重试3次（指数退避），仍失败标记人工处理</t>
  </si>
  <si>
    <t>关键词/禁用词检测</t>
  </si>
  <si>
    <t>基于ASR全文：遍历template.key_words逐个正则匹配（未命中→MISSING_KEYWORD，扣5分/个）；遍历forbidden_words全文匹配（命中→FORBIDDEN_WORD，扣20分/次，记录时间偏移）；前端质检页面展示ASR文本时关键词高亮绿色、禁用词高亮红色</t>
  </si>
  <si>
    <t>双录视频上传后，FFmpeg提取关键帧，调用人脸识别SDK（阿里云/腾讯）与身份证照片比对；相似度≥80通过，&lt;80扣30分生成FACE_FAIL违规项；同时检测活体（防照片攻击）</t>
  </si>
  <si>
    <t>证件识别（OCR+翻拍检测）</t>
  </si>
  <si>
    <t>双录指定节点引导业务员展示客户身份证，前端调用接口上传证件图片；后端调用OCR识别姓名和证件号与投保人信息比对；翻拍检测识别摩尔纹/屏幕边缘：翻拍扣30分，信息不符扣50分</t>
  </si>
  <si>
    <t>质检报告生成</t>
  </si>
  <si>
    <t>人工质检完成后自动生成PDF报告，包含：封面/基本信息/话术完成情况/AI质检得分与违规明细/人脸证件检测/质检员意见/最终结论；使用iText7渲染，上传OSS缓存，支持「导出质检报告」按钮下载</t>
  </si>
  <si>
    <t>合规管理</t>
  </si>
  <si>
    <t>可回溯行为轨迹（C端埋点）</t>
  </si>
  <si>
    <r>
      <rPr>
        <sz val="9"/>
        <rFont val="Arial"/>
        <charset val="1"/>
      </rPr>
      <t>C</t>
    </r>
    <r>
      <rPr>
        <sz val="9"/>
        <rFont val="Noto Sans CJK SC"/>
        <charset val="134"/>
      </rPr>
      <t>端投保</t>
    </r>
    <r>
      <rPr>
        <sz val="9"/>
        <rFont val="Arial"/>
        <charset val="1"/>
      </rPr>
      <t>5</t>
    </r>
    <r>
      <rPr>
        <sz val="9"/>
        <rFont val="Noto Sans CJK SC"/>
        <charset val="134"/>
      </rPr>
      <t>类关键页面（产品详情</t>
    </r>
    <r>
      <rPr>
        <sz val="9"/>
        <rFont val="Arial"/>
        <charset val="1"/>
      </rPr>
      <t>/</t>
    </r>
    <r>
      <rPr>
        <sz val="9"/>
        <rFont val="Noto Sans CJK SC"/>
        <charset val="134"/>
      </rPr>
      <t>健康告知</t>
    </r>
    <r>
      <rPr>
        <sz val="9"/>
        <rFont val="Arial"/>
        <charset val="1"/>
      </rPr>
      <t>/</t>
    </r>
    <r>
      <rPr>
        <sz val="9"/>
        <rFont val="Noto Sans CJK SC"/>
        <charset val="134"/>
      </rPr>
      <t>投保须知</t>
    </r>
    <r>
      <rPr>
        <sz val="9"/>
        <rFont val="Arial"/>
        <charset val="1"/>
      </rPr>
      <t>/</t>
    </r>
    <r>
      <rPr>
        <sz val="9"/>
        <rFont val="Noto Sans CJK SC"/>
        <charset val="134"/>
      </rPr>
      <t>条款</t>
    </r>
    <r>
      <rPr>
        <sz val="9"/>
        <rFont val="Arial"/>
        <charset val="1"/>
      </rPr>
      <t>/</t>
    </r>
    <r>
      <rPr>
        <sz val="9"/>
        <rFont val="Noto Sans CJK SC"/>
        <charset val="134"/>
      </rPr>
      <t>支付）埋点采集：停留时长计时</t>
    </r>
    <r>
      <rPr>
        <sz val="9"/>
        <rFont val="Arial"/>
        <charset val="1"/>
      </rPr>
      <t>+</t>
    </r>
    <r>
      <rPr>
        <sz val="9"/>
        <rFont val="Noto Sans CJK SC"/>
        <charset val="134"/>
      </rPr>
      <t>「下一步」按钮置灰（未达最低时长）；逐页批量上报</t>
    </r>
    <r>
      <rPr>
        <sz val="9"/>
        <rFont val="Arial"/>
        <charset val="1"/>
      </rPr>
      <t>PAGE_VIEW/ELEMENT_CLICK</t>
    </r>
    <r>
      <rPr>
        <sz val="9"/>
        <rFont val="Noto Sans CJK SC"/>
        <charset val="134"/>
      </rPr>
      <t>等事件到</t>
    </r>
    <r>
      <rPr>
        <sz val="9"/>
        <rFont val="Arial"/>
        <charset val="1"/>
      </rPr>
      <t>ins_behavior_trace</t>
    </r>
    <r>
      <rPr>
        <sz val="9"/>
        <rFont val="Noto Sans CJK SC"/>
        <charset val="134"/>
      </rPr>
      <t>；关键操作触发</t>
    </r>
    <r>
      <rPr>
        <sz val="9"/>
        <rFont val="Arial"/>
        <charset val="1"/>
      </rPr>
      <t>html2canvas</t>
    </r>
    <r>
      <rPr>
        <sz val="9"/>
        <rFont val="Noto Sans CJK SC"/>
        <charset val="134"/>
      </rPr>
      <t>截图并上传（含时间戳</t>
    </r>
    <r>
      <rPr>
        <sz val="9"/>
        <rFont val="Arial"/>
        <charset val="1"/>
      </rPr>
      <t>/</t>
    </r>
    <r>
      <rPr>
        <sz val="9"/>
        <rFont val="Noto Sans CJK SC"/>
        <charset val="134"/>
      </rPr>
      <t>订单号水印）</t>
    </r>
  </si>
  <si>
    <t>审计日志</t>
  </si>
  <si>
    <t>基于yudao @OperateLog注解在视频查看/质检提交/报告导出/模板修改等敏感接口自动记录：操作人/时间/IP/操作内容/前后对比；日志保留3年，支持按条件检索</t>
  </si>
  <si>
    <t>质检审核（人工质检）</t>
  </si>
  <si>
    <r>
      <rPr>
        <sz val="9"/>
        <rFont val="Arial"/>
        <charset val="1"/>
      </rPr>
      <t>PC</t>
    </r>
    <r>
      <rPr>
        <sz val="9"/>
        <rFont val="Noto Sans CJK SC"/>
        <charset val="134"/>
      </rPr>
      <t>端质检任务列表支持多条件筛选；点击「人工质检」进入全屏质检页：左侧</t>
    </r>
    <r>
      <rPr>
        <sz val="9"/>
        <rFont val="Arial"/>
        <charset val="1"/>
      </rPr>
      <t>Aliplayer</t>
    </r>
    <r>
      <rPr>
        <sz val="9"/>
        <rFont val="Noto Sans CJK SC"/>
        <charset val="134"/>
      </rPr>
      <t>视频</t>
    </r>
    <r>
      <rPr>
        <sz val="9"/>
        <rFont val="Arial"/>
        <charset val="1"/>
      </rPr>
      <t>+ASR</t>
    </r>
    <r>
      <rPr>
        <sz val="9"/>
        <rFont val="Noto Sans CJK SC"/>
        <charset val="134"/>
      </rPr>
      <t>字幕</t>
    </r>
    <r>
      <rPr>
        <sz val="9"/>
        <rFont val="Arial"/>
        <charset val="1"/>
      </rPr>
      <t>+</t>
    </r>
    <r>
      <rPr>
        <sz val="9"/>
        <rFont val="Noto Sans CJK SC"/>
        <charset val="134"/>
      </rPr>
      <t>进度条违规红点，右侧节点完成情况</t>
    </r>
    <r>
      <rPr>
        <sz val="9"/>
        <rFont val="Arial"/>
        <charset val="1"/>
      </rPr>
      <t>+AI</t>
    </r>
    <r>
      <rPr>
        <sz val="9"/>
        <rFont val="Noto Sans CJK SC"/>
        <charset val="134"/>
      </rPr>
      <t>质检汇总</t>
    </r>
    <r>
      <rPr>
        <sz val="9"/>
        <rFont val="Arial"/>
        <charset val="1"/>
      </rPr>
      <t>+</t>
    </r>
    <r>
      <rPr>
        <sz val="9"/>
        <rFont val="Noto Sans CJK SC"/>
        <charset val="134"/>
      </rPr>
      <t>质检意见填写（通过</t>
    </r>
    <r>
      <rPr>
        <sz val="9"/>
        <rFont val="Arial"/>
        <charset val="1"/>
      </rPr>
      <t>/</t>
    </r>
    <r>
      <rPr>
        <sz val="9"/>
        <rFont val="Noto Sans CJK SC"/>
        <charset val="134"/>
      </rPr>
      <t>不通过必选，不通过时意见≥</t>
    </r>
    <r>
      <rPr>
        <sz val="9"/>
        <rFont val="Arial"/>
        <charset val="1"/>
      </rPr>
      <t>20</t>
    </r>
    <r>
      <rPr>
        <sz val="9"/>
        <rFont val="Noto Sans CJK SC"/>
        <charset val="134"/>
      </rPr>
      <t>字）；提交时用</t>
    </r>
    <r>
      <rPr>
        <sz val="9"/>
        <rFont val="Arial"/>
        <charset val="1"/>
      </rPr>
      <t>Redis</t>
    </r>
    <r>
      <rPr>
        <sz val="9"/>
        <rFont val="Noto Sans CJK SC"/>
        <charset val="134"/>
      </rPr>
      <t>锁防并发；不通过自动站内通知业务员重录</t>
    </r>
  </si>
  <si>
    <t>存证管理（区块链存证）</t>
  </si>
  <si>
    <t>双录完成后24小时内异步存证：计算视频文件SHA256→调用蚂蚁链BaaS API上链→写入ins_blockchain_evidence（txId/区块高度/时间戳/verifyUrl）→更新双录主记录blockchain_hash；失败最多重试3次，超限告警通知合规负责人；PC端存证列表支持查看/验证/下载存证证书</t>
  </si>
  <si>
    <t>合规报表</t>
  </si>
  <si>
    <r>
      <rPr>
        <sz val="9"/>
        <rFont val="Arial"/>
        <charset val="1"/>
      </rPr>
      <t>PC</t>
    </r>
    <r>
      <rPr>
        <sz val="9"/>
        <rFont val="Noto Sans CJK SC"/>
        <charset val="134"/>
      </rPr>
      <t>端合规数据看板：汇总卡片（双录总数</t>
    </r>
    <r>
      <rPr>
        <sz val="9"/>
        <rFont val="Arial"/>
        <charset val="1"/>
      </rPr>
      <t>/</t>
    </r>
    <r>
      <rPr>
        <sz val="9"/>
        <rFont val="Noto Sans CJK SC"/>
        <charset val="134"/>
      </rPr>
      <t>通过率</t>
    </r>
    <r>
      <rPr>
        <sz val="9"/>
        <rFont val="Arial"/>
        <charset val="1"/>
      </rPr>
      <t>/</t>
    </r>
    <r>
      <rPr>
        <sz val="9"/>
        <rFont val="Noto Sans CJK SC"/>
        <charset val="134"/>
      </rPr>
      <t>平均分）</t>
    </r>
    <r>
      <rPr>
        <sz val="9"/>
        <rFont val="Arial"/>
        <charset val="1"/>
      </rPr>
      <t>+</t>
    </r>
    <r>
      <rPr>
        <sz val="9"/>
        <rFont val="Noto Sans CJK SC"/>
        <charset val="134"/>
      </rPr>
      <t>近</t>
    </r>
    <r>
      <rPr>
        <sz val="9"/>
        <rFont val="Arial"/>
        <charset val="1"/>
      </rPr>
      <t>30</t>
    </r>
    <r>
      <rPr>
        <sz val="9"/>
        <rFont val="Noto Sans CJK SC"/>
        <charset val="134"/>
      </rPr>
      <t>天通过率趋势折线图</t>
    </r>
    <r>
      <rPr>
        <sz val="9"/>
        <rFont val="Arial"/>
        <charset val="1"/>
      </rPr>
      <t>+</t>
    </r>
    <r>
      <rPr>
        <sz val="9"/>
        <rFont val="Noto Sans CJK SC"/>
        <charset val="134"/>
      </rPr>
      <t>违规类型分布饼图</t>
    </r>
    <r>
      <rPr>
        <sz val="9"/>
        <rFont val="Arial"/>
        <charset val="1"/>
      </rPr>
      <t>+</t>
    </r>
    <r>
      <rPr>
        <sz val="9"/>
        <rFont val="Noto Sans CJK SC"/>
        <charset val="134"/>
      </rPr>
      <t>业务员排行榜</t>
    </r>
    <r>
      <rPr>
        <sz val="9"/>
        <rFont val="Arial"/>
        <charset val="1"/>
      </rPr>
      <t>+</t>
    </r>
    <r>
      <rPr>
        <sz val="9"/>
        <rFont val="Noto Sans CJK SC"/>
        <charset val="134"/>
      </rPr>
      <t>产品风险柱状图；支持按时间</t>
    </r>
    <r>
      <rPr>
        <sz val="9"/>
        <rFont val="Arial"/>
        <charset val="1"/>
      </rPr>
      <t>/</t>
    </r>
    <r>
      <rPr>
        <sz val="9"/>
        <rFont val="Noto Sans CJK SC"/>
        <charset val="134"/>
      </rPr>
      <t>业务员</t>
    </r>
    <r>
      <rPr>
        <sz val="9"/>
        <rFont val="Arial"/>
        <charset val="1"/>
      </rPr>
      <t>/</t>
    </r>
    <r>
      <rPr>
        <sz val="9"/>
        <rFont val="Noto Sans CJK SC"/>
        <charset val="134"/>
      </rPr>
      <t>产品类型筛选；数据从</t>
    </r>
    <r>
      <rPr>
        <sz val="9"/>
        <rFont val="Arial"/>
        <charset val="1"/>
      </rPr>
      <t>ins_double_record_check</t>
    </r>
    <r>
      <rPr>
        <sz val="9"/>
        <rFont val="Noto Sans CJK SC"/>
        <charset val="134"/>
      </rPr>
      <t>聚合查询</t>
    </r>
  </si>
  <si>
    <t>自动对账</t>
  </si>
  <si>
    <t>保单导入</t>
  </si>
  <si>
    <r>
      <rPr>
        <sz val="10"/>
        <rFont val="微软雅黑"/>
        <charset val="1"/>
      </rPr>
      <t>EasyExcel</t>
    </r>
    <r>
      <rPr>
        <sz val="10"/>
        <rFont val="Noto Sans CJK SC"/>
        <charset val="134"/>
      </rPr>
      <t>异步批量导入保险公司下发保单</t>
    </r>
    <r>
      <rPr>
        <sz val="10"/>
        <rFont val="微软雅黑"/>
        <charset val="1"/>
      </rPr>
      <t>Excel</t>
    </r>
    <r>
      <rPr>
        <sz val="10"/>
        <rFont val="Noto Sans CJK SC"/>
        <charset val="134"/>
      </rPr>
      <t>；前端弹窗选择保险公司</t>
    </r>
    <r>
      <rPr>
        <sz val="10"/>
        <rFont val="微软雅黑"/>
        <charset val="1"/>
      </rPr>
      <t>/</t>
    </r>
    <r>
      <rPr>
        <sz val="10"/>
        <rFont val="Noto Sans CJK SC"/>
        <charset val="134"/>
      </rPr>
      <t>对账月份</t>
    </r>
    <r>
      <rPr>
        <sz val="10"/>
        <rFont val="微软雅黑"/>
        <charset val="1"/>
      </rPr>
      <t>/</t>
    </r>
    <r>
      <rPr>
        <sz val="10"/>
        <rFont val="Noto Sans CJK SC"/>
        <charset val="134"/>
      </rPr>
      <t>上传文件；后端同步生成批次号和</t>
    </r>
    <r>
      <rPr>
        <sz val="10"/>
        <rFont val="微软雅黑"/>
        <charset val="1"/>
      </rPr>
      <t>OSS</t>
    </r>
    <r>
      <rPr>
        <sz val="10"/>
        <rFont val="Noto Sans CJK SC"/>
        <charset val="134"/>
      </rPr>
      <t>存储，异步解析入库（</t>
    </r>
    <r>
      <rPr>
        <sz val="10"/>
        <rFont val="微软雅黑"/>
        <charset val="1"/>
      </rPr>
      <t>finance_import_batch + finance_import_detail</t>
    </r>
    <r>
      <rPr>
        <sz val="10"/>
        <rFont val="Noto Sans CJK SC"/>
        <charset val="134"/>
      </rPr>
      <t>）；解析完成自动触发智能匹配；支持查看导入批次列表和进度状态</t>
    </r>
  </si>
  <si>
    <r>
      <rPr>
        <sz val="10"/>
        <rFont val="微软雅黑"/>
        <charset val="1"/>
      </rPr>
      <t>EasyExcel</t>
    </r>
    <r>
      <rPr>
        <sz val="10"/>
        <rFont val="Noto Sans CJK SC"/>
        <charset val="134"/>
      </rPr>
      <t>异步导入；</t>
    </r>
    <r>
      <rPr>
        <sz val="10"/>
        <rFont val="微软雅黑"/>
        <charset val="1"/>
      </rPr>
      <t>Redis INCR</t>
    </r>
    <r>
      <rPr>
        <sz val="10"/>
        <rFont val="Noto Sans CJK SC"/>
        <charset val="134"/>
      </rPr>
      <t>生成唯一批次号；</t>
    </r>
    <r>
      <rPr>
        <sz val="10"/>
        <rFont val="微软雅黑"/>
        <charset val="1"/>
      </rPr>
      <t>MQ</t>
    </r>
    <r>
      <rPr>
        <sz val="10"/>
        <rFont val="Noto Sans CJK SC"/>
        <charset val="134"/>
      </rPr>
      <t>触发匹配</t>
    </r>
  </si>
  <si>
    <t>智能匹配</t>
  </si>
  <si>
    <t>导入完成后自动触发，按优先级执行4条匹配规则：①保险公司保单号精确匹配；②投保人+保费+日期匹配；③手机号+险种+保费差≤5%模糊匹配；④身份证+险种+日期差≤3天；匹配成功记录system_order_id，差异写入finance_reconcile_diff；支持手动重新触发匹配</t>
  </si>
  <si>
    <r>
      <rPr>
        <sz val="10"/>
        <rFont val="微软雅黑"/>
        <charset val="1"/>
      </rPr>
      <t>CompletableFuture</t>
    </r>
    <r>
      <rPr>
        <sz val="10"/>
        <rFont val="Noto Sans CJK SC"/>
        <charset val="134"/>
      </rPr>
      <t>并行处理</t>
    </r>
    <r>
      <rPr>
        <sz val="10"/>
        <rFont val="微软雅黑"/>
        <charset val="1"/>
      </rPr>
      <t>1000</t>
    </r>
    <r>
      <rPr>
        <sz val="10"/>
        <rFont val="Noto Sans CJK SC"/>
        <charset val="134"/>
      </rPr>
      <t>条</t>
    </r>
    <r>
      <rPr>
        <sz val="10"/>
        <rFont val="微软雅黑"/>
        <charset val="1"/>
      </rPr>
      <t>/</t>
    </r>
    <r>
      <rPr>
        <sz val="10"/>
        <rFont val="Noto Sans CJK SC"/>
        <charset val="134"/>
      </rPr>
      <t>批；多字段模糊匹配白名单防注入</t>
    </r>
  </si>
  <si>
    <t>差异标记</t>
  </si>
  <si>
    <t>对匹配到但数据不一致的保单，按差异类型（保费差异/佣金差异/日期差异/保单号差异/无法匹配/重复保单）分类标记；差异列表页支持多维度筛选；列表展示导入保费与系统保费对比、差异金额；不同状态用颜色标签区分（待处理橙/已处理绿/已忽略灰）</t>
  </si>
  <si>
    <t>差异类型枚举定义；批量勾选最多200条批量忽略</t>
  </si>
  <si>
    <t>人工处理</t>
  </si>
  <si>
    <t>差异列表点击"处理"，右侧800px侧滑面板展示左右对比视图（保险公司数据 vs 系统数据，差异字段红色高亮）；处理方式四选一：以系统数据为准/以保险公司为准/手动输入修正值/忽略；驳回时备注必填；确认后后端按方式更新订单数据并记录处理人/时间；批次差异全处理后自动更新批次状态为"对账完成"</t>
  </si>
  <si>
    <r>
      <rPr>
        <sz val="10"/>
        <rFont val="微软雅黑"/>
        <charset val="1"/>
      </rPr>
      <t>Activiti</t>
    </r>
    <r>
      <rPr>
        <sz val="10"/>
        <rFont val="Noto Sans CJK SC"/>
        <charset val="134"/>
      </rPr>
      <t>或状态机控制；操作日志记录；幂等校验</t>
    </r>
    <r>
      <rPr>
        <sz val="10"/>
        <rFont val="微软雅黑"/>
        <charset val="1"/>
      </rPr>
      <t>process_status</t>
    </r>
  </si>
  <si>
    <t>按对账月份+保险公司筛选，展示汇总卡片（保单总数/匹配成功数/差异数/待处理数）+ 分保险公司汇总表（保单数/匹配率/差异金额/处理状态）+ 差异明细折叠列表；右上角"导出Excel"生成两个Sheet（汇总+明细），EasyExcel生成后上传OSS返回24小时有效下载链接</t>
  </si>
  <si>
    <r>
      <rPr>
        <sz val="10"/>
        <rFont val="微软雅黑"/>
        <charset val="1"/>
      </rPr>
      <t>EasyExcel</t>
    </r>
    <r>
      <rPr>
        <sz val="10"/>
        <rFont val="Noto Sans CJK SC"/>
        <charset val="134"/>
      </rPr>
      <t>动态表头；</t>
    </r>
    <r>
      <rPr>
        <sz val="10"/>
        <rFont val="微软雅黑"/>
        <charset val="1"/>
      </rPr>
      <t>OSS</t>
    </r>
    <r>
      <rPr>
        <sz val="10"/>
        <rFont val="Noto Sans CJK SC"/>
        <charset val="134"/>
      </rPr>
      <t>临时签名</t>
    </r>
    <r>
      <rPr>
        <sz val="10"/>
        <rFont val="微软雅黑"/>
        <charset val="1"/>
      </rPr>
      <t>URL</t>
    </r>
  </si>
  <si>
    <t>结算管理</t>
  </si>
  <si>
    <t>定时任务每月5日凌晨按业务员聚合已匹配保单佣金自动生成结算单（finance_settlement+finance_settlement_detail）；同时提供手动生成入口（选月份/业务员范围/是否覆盖）；生成前校验业务员银行卡信息是否完善；生成后推送系统通知；结算单唯一键：agent_id+settle_month</t>
  </si>
  <si>
    <r>
      <rPr>
        <sz val="10"/>
        <rFont val="微软雅黑"/>
        <charset val="1"/>
      </rPr>
      <t>XXL-Job</t>
    </r>
    <r>
      <rPr>
        <sz val="10"/>
        <rFont val="Noto Sans CJK SC"/>
        <charset val="134"/>
      </rPr>
      <t>定时任务；复杂</t>
    </r>
    <r>
      <rPr>
        <sz val="10"/>
        <rFont val="微软雅黑"/>
        <charset val="1"/>
      </rPr>
      <t>SQL</t>
    </r>
    <r>
      <rPr>
        <sz val="10"/>
        <rFont val="Noto Sans CJK SC"/>
        <charset val="134"/>
      </rPr>
      <t>聚合；唯一键防重复生成</t>
    </r>
  </si>
  <si>
    <t>提交审核前校验银行卡信息完整性；支持单条/批量提交；启动Activiti流程（financeSettlementApprove），推送待办给财务主管；审核详情页展示结算单信息+保单明细（分页20条）；审核通过/驳回均推送通知；驳回后可修改重新提交；审核记录流水展示在详情页底部</t>
  </si>
  <si>
    <r>
      <rPr>
        <sz val="10"/>
        <rFont val="微软雅黑"/>
        <charset val="1"/>
      </rPr>
      <t>Activiti</t>
    </r>
    <r>
      <rPr>
        <sz val="10"/>
        <rFont val="Noto Sans CJK SC"/>
        <charset val="134"/>
      </rPr>
      <t>工作流；多级审核配置；批量提交幂等</t>
    </r>
  </si>
  <si>
    <t>发票管理</t>
  </si>
  <si>
    <t>结算单审核通过后可申请开票；弹窗填写发票类型/抬头/税号/税率/收票邮箱等（专票需税号必填）；金额不得超过结算单实发金额；支持接入发票API自动开票或手动上传PDF；发票作废后结算单重置为"未开票"状态；若已API开票则同步调用冲红接口</t>
  </si>
  <si>
    <t>发票API对接（百旺/航信）；金额校验；作废冲红流程</t>
  </si>
  <si>
    <t>打款管理</t>
  </si>
  <si>
    <t>在结算单列表勾选"审核通过"状态的结算单，点击"发起打款"，弹窗展示打款总笔数/金额明细，选择打款方式（批量文件导出/API自动打款）和付款账户；文件导出：生成银行标准格式Excel供手动上传银行系统，人工确认后更新状态；API打款：调用银行API批量转账，异步回调更新打款状态，失败告警通知</t>
  </si>
  <si>
    <t>银行API/批量付款文件格式；异步回调处理；失败重试机制</t>
  </si>
  <si>
    <t>税务管理</t>
  </si>
  <si>
    <t>个税计算</t>
  </si>
  <si>
    <t>劳务报酬所得预扣率表（≤2万20%/2-5万30%/≥5万40%，速算扣除数0/2000/7000）；收入额计算：≤4000元减800定额扣除，&gt;4000元乘80%；结算单生成时自动调用；PC端提供单独查询页（选月份/业务员查询），展示计算过程明细；支持财务主管人工调整税额（需填写原因），调整后更新结算单实发金额</t>
  </si>
  <si>
    <t>阶梯税率算法；人工调整操作日志；调整需主管角色权限</t>
  </si>
  <si>
    <t>税务申报</t>
  </si>
  <si>
    <t>每月完成代扣后生成符合税务局格式的申报文件（汇总表+明细表），EasyExcel模板填充，字段包括：姓名/身份证/所得项目/本期收入/本期税额；文件存OSS有效期7天；财务手动上传税务局后，在系统中"标记已申报"（填申报日期/凭证号/截图）；申报记录归档</t>
  </si>
  <si>
    <r>
      <rPr>
        <sz val="10"/>
        <rFont val="微软雅黑"/>
        <charset val="1"/>
      </rPr>
      <t>EasyExcel</t>
    </r>
    <r>
      <rPr>
        <sz val="10"/>
        <rFont val="Noto Sans CJK SC"/>
        <charset val="134"/>
      </rPr>
      <t>模板填充；《个税扣缴申报管理办法》附表格式</t>
    </r>
  </si>
  <si>
    <t>完税证明</t>
  </si>
  <si>
    <r>
      <rPr>
        <sz val="10"/>
        <rFont val="微软雅黑"/>
        <charset val="1"/>
      </rPr>
      <t>PC</t>
    </r>
    <r>
      <rPr>
        <sz val="10"/>
        <rFont val="Noto Sans CJK SC"/>
        <charset val="134"/>
      </rPr>
      <t>端管理页支持为业务员生成月度</t>
    </r>
    <r>
      <rPr>
        <sz val="10"/>
        <rFont val="微软雅黑"/>
        <charset val="1"/>
      </rPr>
      <t>/</t>
    </r>
    <r>
      <rPr>
        <sz val="10"/>
        <rFont val="Noto Sans CJK SC"/>
        <charset val="134"/>
      </rPr>
      <t>年度完税证明</t>
    </r>
    <r>
      <rPr>
        <sz val="10"/>
        <rFont val="微软雅黑"/>
        <charset val="1"/>
      </rPr>
      <t>PDF</t>
    </r>
    <r>
      <rPr>
        <sz val="10"/>
        <rFont val="Noto Sans CJK SC"/>
        <charset val="134"/>
      </rPr>
      <t>（公司模板</t>
    </r>
    <r>
      <rPr>
        <sz val="10"/>
        <rFont val="微软雅黑"/>
        <charset val="1"/>
      </rPr>
      <t>+</t>
    </r>
    <r>
      <rPr>
        <sz val="10"/>
        <rFont val="Noto Sans CJK SC"/>
        <charset val="134"/>
      </rPr>
      <t>业务员信息填充，存</t>
    </r>
    <r>
      <rPr>
        <sz val="10"/>
        <rFont val="微软雅黑"/>
        <charset val="1"/>
      </rPr>
      <t>OSS</t>
    </r>
    <r>
      <rPr>
        <sz val="10"/>
        <rFont val="Noto Sans CJK SC"/>
        <charset val="134"/>
      </rPr>
      <t>）；支持发送邮件（附</t>
    </r>
    <r>
      <rPr>
        <sz val="10"/>
        <rFont val="微软雅黑"/>
        <charset val="1"/>
      </rPr>
      <t>PDF</t>
    </r>
    <r>
      <rPr>
        <sz val="10"/>
        <rFont val="Noto Sans CJK SC"/>
        <charset val="134"/>
      </rPr>
      <t>）至业务员邮箱；</t>
    </r>
    <r>
      <rPr>
        <sz val="10"/>
        <rFont val="微软雅黑"/>
        <charset val="1"/>
      </rPr>
      <t>B</t>
    </r>
    <r>
      <rPr>
        <sz val="10"/>
        <rFont val="Noto Sans CJK SC"/>
        <charset val="134"/>
      </rPr>
      <t>端</t>
    </r>
    <r>
      <rPr>
        <sz val="10"/>
        <rFont val="微软雅黑"/>
        <charset val="1"/>
      </rPr>
      <t>App"</t>
    </r>
    <r>
      <rPr>
        <sz val="10"/>
        <rFont val="Noto Sans CJK SC"/>
        <charset val="134"/>
      </rPr>
      <t>我的→完税记录</t>
    </r>
    <r>
      <rPr>
        <sz val="10"/>
        <rFont val="微软雅黑"/>
        <charset val="1"/>
      </rPr>
      <t>"</t>
    </r>
    <r>
      <rPr>
        <sz val="10"/>
        <rFont val="Noto Sans CJK SC"/>
        <charset val="134"/>
      </rPr>
      <t>中业务员可查看本人历史完税列表，点击下载</t>
    </r>
    <r>
      <rPr>
        <sz val="10"/>
        <rFont val="微软雅黑"/>
        <charset val="1"/>
      </rPr>
      <t>PDF</t>
    </r>
    <r>
      <rPr>
        <sz val="10"/>
        <rFont val="Noto Sans CJK SC"/>
        <charset val="134"/>
      </rPr>
      <t>（</t>
    </r>
    <r>
      <rPr>
        <sz val="10"/>
        <rFont val="微软雅黑"/>
        <charset val="1"/>
      </rPr>
      <t>OSS</t>
    </r>
    <r>
      <rPr>
        <sz val="10"/>
        <rFont val="Noto Sans CJK SC"/>
        <charset val="134"/>
      </rPr>
      <t>临时签名</t>
    </r>
    <r>
      <rPr>
        <sz val="10"/>
        <rFont val="微软雅黑"/>
        <charset val="1"/>
      </rPr>
      <t>URL</t>
    </r>
    <r>
      <rPr>
        <sz val="10"/>
        <rFont val="Noto Sans CJK SC"/>
        <charset val="134"/>
      </rPr>
      <t>，</t>
    </r>
    <r>
      <rPr>
        <sz val="10"/>
        <rFont val="微软雅黑"/>
        <charset val="1"/>
      </rPr>
      <t>15</t>
    </r>
    <r>
      <rPr>
        <sz val="10"/>
        <rFont val="Noto Sans CJK SC"/>
        <charset val="134"/>
      </rPr>
      <t>分钟有效）</t>
    </r>
  </si>
  <si>
    <r>
      <rPr>
        <sz val="10"/>
        <rFont val="微软雅黑"/>
        <charset val="1"/>
      </rPr>
      <t>PDF</t>
    </r>
    <r>
      <rPr>
        <sz val="10"/>
        <rFont val="Noto Sans CJK SC"/>
        <charset val="134"/>
      </rPr>
      <t>模板生成（</t>
    </r>
    <r>
      <rPr>
        <sz val="10"/>
        <rFont val="微软雅黑"/>
        <charset val="1"/>
      </rPr>
      <t>iText/Flying Saucer</t>
    </r>
    <r>
      <rPr>
        <sz val="10"/>
        <rFont val="Noto Sans CJK SC"/>
        <charset val="134"/>
      </rPr>
      <t>）；</t>
    </r>
    <r>
      <rPr>
        <sz val="10"/>
        <rFont val="微软雅黑"/>
        <charset val="1"/>
      </rPr>
      <t>OSS</t>
    </r>
    <r>
      <rPr>
        <sz val="10"/>
        <rFont val="Noto Sans CJK SC"/>
        <charset val="134"/>
      </rPr>
      <t>临时签名</t>
    </r>
    <r>
      <rPr>
        <sz val="10"/>
        <rFont val="微软雅黑"/>
        <charset val="1"/>
      </rPr>
      <t>URL</t>
    </r>
    <r>
      <rPr>
        <sz val="10"/>
        <rFont val="Noto Sans CJK SC"/>
        <charset val="134"/>
      </rPr>
      <t>；邮件发送</t>
    </r>
  </si>
  <si>
    <r>
      <rPr>
        <b/>
        <sz val="11"/>
        <color rgb="FFFFFFFF"/>
        <rFont val="微软雅黑"/>
        <charset val="1"/>
      </rPr>
      <t>BI</t>
    </r>
    <r>
      <rPr>
        <b/>
        <sz val="11"/>
        <color rgb="FFFFFFFF"/>
        <rFont val="Noto Sans CJK SC"/>
        <charset val="134"/>
      </rPr>
      <t>报表</t>
    </r>
  </si>
  <si>
    <t>经营看板</t>
  </si>
  <si>
    <t>顶部时间维度切换（今日/本周/本月/本季/本年/自定义）；4个KPI卡片（总保费/佣金收入/新增保单数/活跃业务员数，含环比）；近12月保费佣金趋势双折线图；险种占比饼图；TOP10业务员产能横向柱状图；渠道热力矩阵表；WebSocket每5分钟推送最新KPI；统计数据预聚合至finance_stat_daily宽表（定时任务每小时更新，当日Redis缓存TTL 5分钟）</t>
  </si>
  <si>
    <r>
      <rPr>
        <sz val="10"/>
        <rFont val="微软雅黑"/>
        <charset val="1"/>
      </rPr>
      <t>ECharts</t>
    </r>
    <r>
      <rPr>
        <sz val="10"/>
        <rFont val="Noto Sans CJK SC"/>
        <charset val="134"/>
      </rPr>
      <t>图表；</t>
    </r>
    <r>
      <rPr>
        <sz val="10"/>
        <rFont val="微软雅黑"/>
        <charset val="1"/>
      </rPr>
      <t>WebSocket</t>
    </r>
    <r>
      <rPr>
        <sz val="10"/>
        <rFont val="Noto Sans CJK SC"/>
        <charset val="134"/>
      </rPr>
      <t>实时推送；预聚合宽表；</t>
    </r>
    <r>
      <rPr>
        <sz val="10"/>
        <rFont val="微软雅黑"/>
        <charset val="1"/>
      </rPr>
      <t>Redis</t>
    </r>
    <r>
      <rPr>
        <sz val="10"/>
        <rFont val="Noto Sans CJK SC"/>
        <charset val="134"/>
      </rPr>
      <t>缓存</t>
    </r>
    <r>
      <rPr>
        <sz val="10"/>
        <rFont val="微软雅黑"/>
        <charset val="1"/>
      </rPr>
      <t>5</t>
    </r>
    <r>
      <rPr>
        <sz val="10"/>
        <rFont val="Noto Sans CJK SC"/>
        <charset val="134"/>
      </rPr>
      <t>分钟</t>
    </r>
  </si>
  <si>
    <t>保费统计</t>
  </si>
  <si>
    <t>按险种/保险公司/团队/业务员等维度+时间范围筛选；上方ECharts柱状图展示各分类保费排名，下方明细汇总表（保单数/保费合计/占比/环比/佣金/佣金率）；点击行可钻取查看该分类近12月月度趋势折线图；支持导出Excel（EasyExcel）</t>
  </si>
  <si>
    <t>多维度聚合SQL；钻取下拉联动；EasyExcel导出</t>
  </si>
  <si>
    <t>佣金分析</t>
  </si>
  <si>
    <t>按时间/保险公司/险种/团队筛选；展示佣金月度趋势折线图（可按公司/险种分色多线）、佣金率散点图（X轴保费/Y轴佣金率，每点代表一个险种-公司组合）；汇总表含保单数/保费/应结佣金/实付佣金/平均佣金率/个税合计；支持导出</t>
  </si>
  <si>
    <r>
      <rPr>
        <sz val="10"/>
        <rFont val="微软雅黑"/>
        <charset val="1"/>
      </rPr>
      <t>ECharts</t>
    </r>
    <r>
      <rPr>
        <sz val="10"/>
        <rFont val="Noto Sans CJK SC"/>
        <charset val="134"/>
      </rPr>
      <t>散点图；多维度</t>
    </r>
    <r>
      <rPr>
        <sz val="10"/>
        <rFont val="微软雅黑"/>
        <charset val="1"/>
      </rPr>
      <t>Group By SQL</t>
    </r>
  </si>
  <si>
    <t>人力分析</t>
  </si>
  <si>
    <t>按时间/团队筛选；展示人力发展折线图（在职/新增/离职三线）、人均产能趋势、活跃率分析柱状图（按团队对比）；汇总表（团队/月份维度：期初人数/新增/离职/期末/出单人数/活跃率/人均保费/人均佣金）；数据来源：业务员管理模块在职状态变更记录</t>
  </si>
  <si>
    <t>人员状态变更历史关联；活跃率 = 有出单人数/在职人数</t>
  </si>
  <si>
    <t>渠道分析</t>
  </si>
  <si>
    <t>按时间/保险公司筛选；展示渠道保费占比饼图（支持点击下钻到险种）、多渠道保费趋势对比折线图、渠道佣金率对比横向柱状图；汇总表（保险公司/险种数/保单数/保费/占比/佣金/佣金率/月均增长率）；支持导出</t>
  </si>
  <si>
    <r>
      <rPr>
        <sz val="10"/>
        <rFont val="微软雅黑"/>
        <charset val="1"/>
      </rPr>
      <t>ECharts</t>
    </r>
    <r>
      <rPr>
        <sz val="10"/>
        <rFont val="Noto Sans CJK SC"/>
        <charset val="134"/>
      </rPr>
      <t>联动下钻；月均增长率计算</t>
    </r>
  </si>
  <si>
    <t>自定义报表</t>
  </si>
  <si>
    <t>三区布局：左侧维度/指标选择区（支持拖拽）、中间报表配置区（行维度/列维度/指标/时间范围/筛选条件）、右侧动态报表展示区；支持交叉表（列维度）；后端动态SQL构建（字段名从枚举白名单映射，防SQL注入）；支持导出Excel（动态表头）；支持保存/加载常用报表配置（finance_custom_report_config）</t>
  </si>
  <si>
    <t>动态SQL白名单映射防注入；EasyExcel动态表头导出；拖拽UI组件</t>
  </si>
  <si>
    <t>监管报表</t>
  </si>
  <si>
    <t>业务台账</t>
  </si>
  <si>
    <t>按月自动（每月1日凌晨）或手动生成监管台账；使用EasyExcel模板填充固定格式报表（含：保代业务基本情况表/人员情况表/客户投诉情况）；数据来源于对账/结算完成数据；生成文件存OSS；支持预览（在线/下载）、下载；财务手动上传监管系统后，录入"已上报"标记（上报日期/方式/凭证），系统记录归档</t>
  </si>
  <si>
    <r>
      <rPr>
        <sz val="10"/>
        <rFont val="微软雅黑"/>
        <charset val="1"/>
      </rPr>
      <t>EasyExcel</t>
    </r>
    <r>
      <rPr>
        <sz val="10"/>
        <rFont val="Noto Sans CJK SC"/>
        <charset val="134"/>
      </rPr>
      <t>模板填充；</t>
    </r>
    <r>
      <rPr>
        <sz val="10"/>
        <rFont val="微软雅黑"/>
        <charset val="1"/>
      </rPr>
      <t>XXL-Job</t>
    </r>
    <r>
      <rPr>
        <sz val="10"/>
        <rFont val="Noto Sans CJK SC"/>
        <charset val="134"/>
      </rPr>
      <t>月度定时；监管格式符合银保监要求</t>
    </r>
  </si>
  <si>
    <t>数据上报</t>
  </si>
  <si>
    <t>配置监管机构API参数（URL/认证方式/格式）；定时任务（每月5日凌晨3点）自动上报，也支持手动触发；后端按接口规范组装报文（JSON/XML），调用HTTP接口，记录请求报文和响应报文（加密存储）；解析响应更新上报状态；失败推送告警通知；支持手动重试；上报记录列表展示响应信息和详情</t>
  </si>
  <si>
    <r>
      <rPr>
        <sz val="10"/>
        <rFont val="微软雅黑"/>
        <charset val="1"/>
      </rPr>
      <t>HTTP</t>
    </r>
    <r>
      <rPr>
        <sz val="10"/>
        <rFont val="Noto Sans CJK SC"/>
        <charset val="134"/>
      </rPr>
      <t>对接监管</t>
    </r>
    <r>
      <rPr>
        <sz val="10"/>
        <rFont val="微软雅黑"/>
        <charset val="1"/>
      </rPr>
      <t>API</t>
    </r>
    <r>
      <rPr>
        <sz val="10"/>
        <rFont val="Noto Sans CJK SC"/>
        <charset val="134"/>
      </rPr>
      <t>；报文加密存储；</t>
    </r>
    <r>
      <rPr>
        <sz val="10"/>
        <rFont val="微软雅黑"/>
        <charset val="1"/>
      </rPr>
      <t>XXL-Job</t>
    </r>
    <r>
      <rPr>
        <sz val="10"/>
        <rFont val="Noto Sans CJK SC"/>
        <charset val="134"/>
      </rPr>
      <t>定时；失败告警</t>
    </r>
    <r>
      <rPr>
        <sz val="10"/>
        <rFont val="微软雅黑"/>
        <charset val="1"/>
      </rPr>
      <t>+</t>
    </r>
    <r>
      <rPr>
        <sz val="10"/>
        <rFont val="Noto Sans CJK SC"/>
        <charset val="134"/>
      </rPr>
      <t>重试</t>
    </r>
  </si>
  <si>
    <t>报表归档</t>
  </si>
  <si>
    <t>各类报表（对账/结算/税务申报/监管台账）生成后可手动归档，也由定时任务自动归档已上报台账；归档时将OSS文件移至归档目录（finance/archive/年/月/类型/文件名），启用OSS Object Lock（7年保存期）；归档列表支持按类型/月份/状态筛选；提供下载；删除操作需系统管理员权限</t>
  </si>
  <si>
    <r>
      <rPr>
        <sz val="10"/>
        <rFont val="微软雅黑"/>
        <charset val="1"/>
      </rPr>
      <t>OSS Object Lock 7</t>
    </r>
    <r>
      <rPr>
        <sz val="10"/>
        <rFont val="Noto Sans CJK SC"/>
        <charset val="134"/>
      </rPr>
      <t>年；归档目录规范；权限控制（仅管理员可删）</t>
    </r>
  </si>
  <si>
    <t>寿险保单管理</t>
  </si>
  <si>
    <t>个险保单录入</t>
  </si>
  <si>
    <t>三步录入表单：①基本信息（险种/保司/产品/保单号/起保日期/到期日期/缴费方式/缴费期间/年度保费/缴费频率/件数状态）②被保人&amp;投保人（姓名/证件类型/证件号AES加密/出生日期/性别/受益人类型/受益人信息）③附件上传（首页/缴费通知单/健告书等，每类最多5个）；录入后自动匹配客户记录（按证件号精确匹配）；触发佣金预计算。对应操作手册110号。</t>
  </si>
  <si>
    <t>三步表单分步校验；证件号AES加密；自动客户匹配；佣金预算联动</t>
  </si>
  <si>
    <t>个险保单查询与导出</t>
  </si>
  <si>
    <t>搜索：保单号/被保人/投保人/险种/保司/保单状态/起保日期范围/到期日期范围/录入业务员；列表字段可自定义显示列；操作列：详情/编辑/核对/验真/导出；分页+批量导出Excel（&gt;2000条异步）；导出字段含所有保单关键字段（证件号脱敏）。对应操作手册111-113号。</t>
  </si>
  <si>
    <t>多条件动态查询；EasyExcel异步导出；自定义列配置</t>
  </si>
  <si>
    <t>批量导入保单</t>
  </si>
  <si>
    <t>下载导入模板（分险种不同模板）；上传Excel(≤5000行)；预解析展示前20行校验结果；支持"跳过错误行"继续导入；批量INSERT(每批500条)；导入结果生成报告（成功/失败/重复）写ins_import_log+站内信通知。对应操作手册112号。</t>
  </si>
  <si>
    <r>
      <rPr>
        <sz val="10"/>
        <rFont val="Arial"/>
        <charset val="1"/>
      </rPr>
      <t>EasyExcel</t>
    </r>
    <r>
      <rPr>
        <sz val="10"/>
        <rFont val="Noto Sans CJK SC"/>
        <charset val="134"/>
      </rPr>
      <t>多模板解析；批量</t>
    </r>
    <r>
      <rPr>
        <sz val="10"/>
        <rFont val="Arial"/>
        <charset val="1"/>
      </rPr>
      <t>INSERT</t>
    </r>
    <r>
      <rPr>
        <sz val="10"/>
        <rFont val="Noto Sans CJK SC"/>
        <charset val="134"/>
      </rPr>
      <t>；导入结果报告生成</t>
    </r>
  </si>
  <si>
    <t>保单核对（与保司数据比对）</t>
  </si>
  <si>
    <t>从保司导入对账数据→与系统保单按保单号+被保人匹配→差异报告（系统有/保司无/保司有/系统无/金额差异）；差异处理：接受保司/保留系统/手动修正；核对记录归档；核对报告可导出。对应操作手册114号。</t>
  </si>
  <si>
    <t>多来源数据比对算法；差异分类处理；核对版本管理</t>
  </si>
  <si>
    <t>团险保单管理</t>
  </si>
  <si>
    <t>团险保单字段扩展：被保集体名称/团险号码/被保人数量/保障期限/团险类型（员工福利/高管险/团体意外）；支持批量上传被保人名册（Excel）；被保人名册管理（增删改查）；团险续保提醒（到期前60天）。对应操作手册115号。</t>
  </si>
  <si>
    <t>团险被保人名册批量导入；团险续保与个险续保流程差异处理</t>
  </si>
  <si>
    <t>回执管理</t>
  </si>
  <si>
    <t>记录保单回执状态：保单号/客户/回执类型（签收回执/电子回执）/回执时间/是否逾期/处理人；批量更新回执状态（Excel导入）；逾期未回执自动提醒（到承保后30天未回执发站内信给业务员）；回执统计看板（逾期率/完成率）。对应操作手册116号。</t>
  </si>
  <si>
    <t>回执状态定时预警；批量状态更新；回执统计聚合</t>
  </si>
  <si>
    <t>回访管理</t>
  </si>
  <si>
    <t>新增回访记录：保单号（联查保单信息）/回访时间/回访方式（电话/上门/视频）/客户反馈/回访结论/附件；批量导入回访记录（监管要求）；回访提醒：新单30天内必须回访，定时任务推送提醒；回访统计：回访率/逾期回访率；导出回访报告。对应操作手册117-119号。</t>
  </si>
  <si>
    <r>
      <rPr>
        <sz val="10"/>
        <rFont val="Arial"/>
        <charset val="1"/>
      </rPr>
      <t>XXL-Job</t>
    </r>
    <r>
      <rPr>
        <sz val="10"/>
        <rFont val="Noto Sans CJK SC"/>
        <charset val="134"/>
      </rPr>
      <t>定时提醒；回访合规时间点配置；批量导入</t>
    </r>
    <r>
      <rPr>
        <sz val="10"/>
        <rFont val="Arial"/>
        <charset val="1"/>
      </rPr>
      <t>EasyExcel</t>
    </r>
  </si>
  <si>
    <t>寿险保单状态变更</t>
  </si>
  <si>
    <t>保单状态变更</t>
  </si>
  <si>
    <t>手动变更保单状态：有效→失效/减额缴清/延期缴费/保单贷款/退保；填写变更原因+生效日+证明材料上传；变更影响续期管理队列；非退保变更不影响已计算佣金；退保触发佣金回收计算（与佣金系统联动）。对应操作手册121号。</t>
  </si>
  <si>
    <t>状态机流转；退保联动佣金回收；变更记录版本归档</t>
  </si>
  <si>
    <t>保单修改与批量影像件</t>
  </si>
  <si>
    <t>保单字段修改（保单修改）：只允许修改非核心字段（联系方式/收件地址）；核心字段修改需提交审批流；修改记录old_value/new_value归档。批量影像件上传：选择多个保单批量上传对应影像文件（OSS存储），按保单号命名规则自动归档；支持分类上传（首页/条款/健告书）。对应操作手册122-124号。</t>
  </si>
  <si>
    <t>字段修改权限分级；审批流集成；批量文件上传OSS自动归档</t>
  </si>
  <si>
    <t>保全维护（新增/修改/批量）</t>
  </si>
  <si>
    <t>保全申请管理：新增保全（填申请类型[变更受益人/变更投保人/减保/停缴/复效/转换]/被保人/保单号/申请内容/附件）→提交→后台审核→通过后更新保单对应字段；支持批量保全（Excel导入多条保全申请）；保全记录查询（按状态筛选）；对应操作手册125-127号。</t>
  </si>
  <si>
    <t>保全类型枚举化；审批流（Flowable）；批量导入EasyExcel</t>
  </si>
  <si>
    <t>寿险续期管理</t>
  </si>
  <si>
    <t>续期跟踪（查询+批量导入）</t>
  </si>
  <si>
    <t>续期跟踪列表：展示按缴费日期即将到期的寿险保单；支持筛选：业务员/险种/保司/缴费到期区间/跟进状态；续期记录录入：记录联系情况/缴费意向/下次跟进计划；批量导入跟踪记录（保司下发的续期清单）；续期统计看板：继续率/断缴率。对应操作手册129-131号。</t>
  </si>
  <si>
    <t>寿险续期周期计算（月/季/年）；批量导入与系统数据比对；继续率统计算法</t>
  </si>
  <si>
    <t>孤儿单管理</t>
  </si>
  <si>
    <t>孤儿单分配与轨迹</t>
  </si>
  <si>
    <t>孤儿单：业务员离职后遗留的保单。孤儿单池：展示所有未分配或归属离职业务员的保单；分配操作：选择保单→指定接手业务员（本机构在职）→分配原因→更新ins_policy.agent_id；分配轨迹：记录每次分配记录（from_agent/to_agent/分配时间/原因）；支持批量分配。对应操作手册132-134号。</t>
  </si>
  <si>
    <t>孤儿单识别逻辑（离职业务员关联保单）；批量分配事务性操作；分配轨迹审计</t>
  </si>
  <si>
    <t>寿险数据回传</t>
  </si>
  <si>
    <t>数据回传（交互平台+回传接口）</t>
  </si>
  <si>
    <t>寿险数据回传保险公司/监管系统：配置各保司数据回传接口（地址/认证/格式要求）；按保司导出标准格式数据（保单/续期/理赔数据）→调保司API或SFTP上传→记录回传状态；支持补传（某时间段重新回传）；回传结果展示（成功/失败/待确认）；异常数据排查工具（显示具体报错字段）。对应操作手册135-137号。</t>
  </si>
  <si>
    <t>多保司适配器模式；SFTP文件传输；异步回传+状态追踪；数据格式转换</t>
  </si>
  <si>
    <t>寿险理赔管理</t>
  </si>
  <si>
    <t>理赔录入/跟进/查询</t>
  </si>
  <si>
    <t>寿险理赔案件管理：新增案件（保单号/出险时间/出险类型[身故/全残/疾病]/出险经过/已提交材料/赔案号）；案件跟进记录（处理进展/补充材料要求）；赔付结果录入（赔付金额/日期/账号）；案件查询（按保单号/被保人/案件状态/时间段）；统计看板（案件数/平均处理天数/赔付金额）。对应操作手册138号。</t>
  </si>
  <si>
    <t>理赔状态机；赔付结果与保单状态联动；统计聚合</t>
  </si>
  <si>
    <t>寿险政策管理</t>
  </si>
  <si>
    <t>机构费率政策</t>
  </si>
  <si>
    <t>为各机构配置寿险佣金费率：机构+险种+产品+职级组合的佣金率配置；支持首年佣金率/续年佣金率/增值服务佣金率；费率设有效期（起止日期）；变更记录历史版本；前端可视化表格批量编辑；提交后需审批通过才生效。对应操作手册140号。</t>
  </si>
  <si>
    <t>多维度费率矩阵配置；版本历史管理；审批流集成</t>
  </si>
  <si>
    <t>上下游政策配置与政策审批</t>
  </si>
  <si>
    <t>上游政策：配置保司给平台的佣金费率（含首年/续年/奖励政策）；下游政策：配置平台给业务员/机构的分配政策；政策审批流程：新政策/变更政策需逐级审批（一级管理员→平台审批）；政策版本管理：同一保司/险种只能有一个生效版本；撤销申请功能。对应操作手册141-142号。</t>
  </si>
  <si>
    <r>
      <rPr>
        <sz val="10"/>
        <rFont val="Arial"/>
        <charset val="1"/>
      </rPr>
      <t>Flowable</t>
    </r>
    <r>
      <rPr>
        <sz val="10"/>
        <rFont val="Noto Sans CJK SC"/>
        <charset val="134"/>
      </rPr>
      <t>多级审批流；上下游政策差价利润空间校验；版本互斥控制</t>
    </r>
  </si>
  <si>
    <t>折标系数与保司结算时间</t>
  </si>
  <si>
    <t>折标系数管理：配置各险种的折标系数（将不同期缴方式统一折算为标准保费的系数）；用于绩效统计和政策档位计算。保司结算时间设置：配置各保司的佣金结算周期（月结/季结）和结算日；保司结算时间影响佣金到账预测；支持批量设置。对应操作手册143-144号。</t>
  </si>
  <si>
    <t>折标系数计算逻辑；结算周期影响佣金预测</t>
  </si>
  <si>
    <t>寿险客户维护/影像管理</t>
  </si>
  <si>
    <t>客户查询/新增/导入/导出/影像管理</t>
  </si>
  <si>
    <t>寿险专用客户管理（与通用CRM有数据共享但入口独立）：搜索客户（支持按姓名/证件号/保单号）；新增寿险客户（字段含健康告知历史/既往症）；Excel批量导入（支持保司导出格式转换）；导出客户名单（标准格式+自定义格式）。影像管理：为客户上传/查看影像文件（身份证/授权书/回执书/健康告知书）；影像分类管理；OSS存储+有效期管理。对应操作手册145-149号。</t>
  </si>
  <si>
    <t>影像分类多层次管理；OSS链接有效期控制；导入格式适配多家保司</t>
  </si>
  <si>
    <t>寿险财务管理</t>
  </si>
  <si>
    <t>上游结算统计与保单结算</t>
  </si>
  <si>
    <t>上游结算统计：汇总各保司应付佣金（从寿险政策计算）与实付佣金（从保司对账单）的差额；统计表按保司/月份展示；支持导出对账单。上游保单结算：按保单维度逐条确认佣金到账，导入保司结算单→匹配本地保单→差异处理→确认到账；已到账佣金流入佣金池供下游发放。对应操作手册151-152号。</t>
  </si>
  <si>
    <t>多保司对账逻辑复用；保单级别精确匹配；佣金池流入流出管理</t>
  </si>
  <si>
    <t>机构计算与机构对账</t>
  </si>
  <si>
    <t>机构维度佣金计算：将到账佣金按寿险下游政策分配到各机构和业务员；支持手动触发和定时自动触发；计算结果进入待审核队列。机构对账：机构实际收到佣金 vs 系统计算应得佣金差异核对；差异原因标注（保司扣减/政策变更/结算周期差）；对账报告导出。对应操作手册153-154号。</t>
  </si>
  <si>
    <t>多级分配算法；对账差异分类逻辑</t>
  </si>
  <si>
    <t>代理个税查询与薪资计算</t>
  </si>
  <si>
    <t>代理个税：汇总当月业务员寿险佣金收入→按个人所得税累计预扣法计算代扣税额→税额明细查询；生成个税申报数据（按总局标准格式）；完税证明生成。薪资计算：寿险佣金（FYC+RYC）+管理津贴+加扣款→工资单生成；支持推送工资条给业务员（站内信+短信）。对应操作手册155-156号。</t>
  </si>
  <si>
    <t>累计预扣个税算法（含专项附加扣除）；完税证明PDF生成；工资条模板</t>
  </si>
  <si>
    <t>上游加扣管理</t>
  </si>
  <si>
    <t>上游加扣款：记录保司对平台的额外加款（奖励政策/协议奖励）或扣款（退单/投诉扣点）；加扣款影响当期结算；操作：新增/审批/反审批/导出；支持批量导入保司加扣数据（Excel）；加扣款与保单关联可追溯来源。对应操作手册157号。</t>
  </si>
  <si>
    <r>
      <rPr>
        <sz val="10"/>
        <rFont val="Arial"/>
        <charset val="1"/>
      </rPr>
      <t>EasyExcel</t>
    </r>
    <r>
      <rPr>
        <sz val="10"/>
        <rFont val="Noto Sans CJK SC"/>
        <charset val="134"/>
      </rPr>
      <t>批量导入；加扣款对结算金额的影响计算；多级审批</t>
    </r>
  </si>
  <si>
    <t>寿险报表管理</t>
  </si>
  <si>
    <t>监管报表与业绩报表</t>
  </si>
  <si>
    <t>监管报表：按保险监管局要求格式生成寿险保单数据报表（含保单号/险种/保额/保费/被保人等）；支持按月/季度/年度生成；导出符合监管格式（通常为特定Excel/CSV格式）；提交记录管理。业绩报表：机构/业务员/险种/保司多维业绩统计；FYP/件数/佣金收入；同比/环比对比；目标完成率。对应操作手册159-160号。</t>
  </si>
  <si>
    <t>监管格式适配（需参照各保司/监管要求）；多维度业绩聚合SQL</t>
  </si>
  <si>
    <t>继续率/保单结算/产品占比报表</t>
  </si>
  <si>
    <t>继续率报表：按险种/保司/业务员统计13/25个月继续率（行业KPI）；关键指标：续期到期件数/实缴件数/继续率%；趋势折线图。保单结算报表：各期结算明细（保单号/险种/结算金额/保司）汇总报表。产品占比报表：各险种/产品的保费占比饼图+趋势；同比分析。对应操作手册161-163号。</t>
  </si>
  <si>
    <r>
      <rPr>
        <sz val="10"/>
        <rFont val="Arial"/>
        <charset val="1"/>
      </rPr>
      <t>13/25</t>
    </r>
    <r>
      <rPr>
        <sz val="10"/>
        <rFont val="Noto Sans CJK SC"/>
        <charset val="134"/>
      </rPr>
      <t>月继续率复杂计算逻辑；时间轴聚合；多图表联动</t>
    </r>
  </si>
  <si>
    <t>寿险系统管理</t>
  </si>
  <si>
    <t>寿险H5后台配置</t>
  </si>
  <si>
    <t>为寿险业务的H5页面（投保流程/产品展示）提供后台配置能力：H5页面主题色/Banner图/联系方式/免责声明内容管理；H5投保流程步骤配置（哪些步骤必填/可选）；不同险种H5展示字段配置；配置变更实时生效（Redis缓存+主动刷新）。对应操作手册165号。</t>
  </si>
  <si>
    <r>
      <rPr>
        <sz val="10"/>
        <rFont val="Arial"/>
        <charset val="1"/>
      </rPr>
      <t>H5</t>
    </r>
    <r>
      <rPr>
        <sz val="10"/>
        <rFont val="Noto Sans CJK SC"/>
        <charset val="134"/>
      </rPr>
      <t>配置热更新；多险种差异化配置；</t>
    </r>
    <r>
      <rPr>
        <sz val="10"/>
        <rFont val="Arial"/>
        <charset val="1"/>
      </rPr>
      <t>Redis</t>
    </r>
    <r>
      <rPr>
        <sz val="10"/>
        <rFont val="Noto Sans CJK SC"/>
        <charset val="134"/>
      </rPr>
      <t>缓存主动刷新</t>
    </r>
  </si>
  <si>
    <t>寿险系统配置与保司工号</t>
  </si>
  <si>
    <t>系统配置：寿险模块专用参数配置（续期提醒提前天数/孤儿单自动分配规则/回访期限要求等）；参数变更实时生效。保司工号管理：为各保司配置寿险接口工号（AppID/AppKey/API地址/是否启用）；工号与机构/业务员关联配置；支持测试连接验证工号有效性。对应操作手册166-167号。</t>
  </si>
  <si>
    <t>参数配置Redis热更新；保司工号加密存储；连接性测试</t>
  </si>
  <si>
    <t>寿险产品管理</t>
  </si>
  <si>
    <t>合作保司管理与寿险产品管理</t>
  </si>
  <si>
    <t>合作保司：CRUD寿险合作保险公司（区别于车险/非车险保司配置，寿险保司有专属字段：执行协议/结算方式/开户信息）；寿险产品管理：新增/编辑/上下架寿险产品（险种/产品代码/名称/缴费方式/保障期限/费率表/佣金配置/健康告知问题绑定）；产品授权到机构；产品费率表维护（与EasyExcel导入）。对应操作手册168-170号。</t>
  </si>
  <si>
    <t>寿险产品复杂字段结构；费率表与健告问卷关联；多机构授权管理</t>
  </si>
  <si>
    <t>寿险产品展业</t>
  </si>
  <si>
    <t>寿险产品列表</t>
  </si>
  <si>
    <t>加载在售寿险产品（个险/团险/储蓄险/保障险）；按险种Tab切换；列表卡片显示：险种/保司/保障期限/缴费期限/佣金率；支持关键词搜索+保司筛选；上拉加载每页20条；收藏/取消收藏；参照App端非车险产品列表复用UI组件；险种枚举扩展寿险类型。</t>
  </si>
  <si>
    <t>与非车险产品列表结构复用；险种枚举扩展寿险类型</t>
  </si>
  <si>
    <t>寿险产品详情</t>
  </si>
  <si>
    <t>多Tab展示：产品亮点/保障责任/费率说明/投保须知/健康告知/FAQ；费率表展示（年龄/性别/缴费期/保额对应保费）；健康告知问题高亮（投保风险提示）；下方固定「保费试算」和「制作计划书」入口；停售产品展示但隐藏操作入口。</t>
  </si>
  <si>
    <r>
      <rPr>
        <sz val="9"/>
        <rFont val="Arial"/>
        <charset val="134"/>
      </rPr>
      <t>JSON</t>
    </r>
    <r>
      <rPr>
        <sz val="9"/>
        <rFont val="Noto Sans CJK SC"/>
        <charset val="134"/>
      </rPr>
      <t>费率表解析；健康告知问卷渲染</t>
    </r>
  </si>
  <si>
    <t>寿险保费试算</t>
  </si>
  <si>
    <t>投保人年龄/性别/缴费方式/缴费期限/保额→实时保费试算；年龄校验按产品min_age/max_age；保额档位联动（固定档位产品）；显示年缴/月缴保费；试算结果一键进入「制作计划书」；调用与非车险同一Groovy试算引擎，险种字段扩展。</t>
  </si>
  <si>
    <t>寿险费率公式支持性别/吸烟等多参数；缓存键含所有影响因子</t>
  </si>
  <si>
    <t>寿险计划书制作</t>
  </si>
  <si>
    <t>基于试算结果生成寿险专属计划书（PDF/H5）：封面含业务员信息+客户信息；保障责任详细列表；费率方案对比（多档保额/期限）；健康告知摘要；服务承诺页；PDF生成参照车险报价单使用iText7；H5分享链接含30天有效期。</t>
  </si>
  <si>
    <t>寿险计划书模板设计；PDF生成区别于非车险模板</t>
  </si>
  <si>
    <t>寿险产品收藏与对比</t>
  </si>
  <si>
    <t>复用非车险产品收藏逻辑（ins_product_favorite表，险种类型区分）；寿险产品支持最多3个产品横向对比：保障期限/缴费期限/保额/保费/健康告知要求/退保现金价值对比；差异项高亮；对比结果可直接进入计划书制作；险种=寿险的产品使用独立对比维度模板</t>
  </si>
  <si>
    <t>复用收藏逻辑，寿险专属对比维度</t>
  </si>
  <si>
    <t>健康告知智能预检</t>
  </si>
  <si>
    <t>在保费试算/进入投保前，引导被保人完成健康告知预检问卷；后端匹配产品的健告规则（ins_life_product_health_notice）；实时给出预核保结论：可正常投保/需加费/需除外责任/拒保；结论包含原因说明和替代产品推荐；预检结果存ins_health_pre_check（TTL 24小时）；不存储具体健康信息（仅结论），保护隐私</t>
  </si>
  <si>
    <t>健告规则引擎，隐私合规</t>
  </si>
  <si>
    <t>寿险产品展业码</t>
  </si>
  <si>
    <t>与非车险产品展业码逻辑相同；生成寿险产品专属二维码（agentId+productId+险种=寿险）；C端扫码跳转阶段8 C端寿险投保页；统计展业码扫码数/投保转化数；业务员可管理名下所有展业码（按险种/产品筛选）；复用非车险展业码后端服务，增加险种参数区分</t>
  </si>
  <si>
    <t>复用非车险展业码逻辑；寿险C端跳转路由</t>
  </si>
  <si>
    <t>寿险保单管理(App)</t>
  </si>
  <si>
    <t>个险保单录入(App)</t>
  </si>
  <si>
    <r>
      <rPr>
        <sz val="9"/>
        <rFont val="Arial"/>
        <charset val="134"/>
      </rPr>
      <t>App</t>
    </r>
    <r>
      <rPr>
        <sz val="9"/>
        <rFont val="Noto Sans CJK SC"/>
        <charset val="134"/>
      </rPr>
      <t>端三步录入（与</t>
    </r>
    <r>
      <rPr>
        <sz val="9"/>
        <rFont val="Arial"/>
        <charset val="134"/>
      </rPr>
      <t>PC</t>
    </r>
    <r>
      <rPr>
        <sz val="9"/>
        <rFont val="Noto Sans CJK SC"/>
        <charset val="134"/>
      </rPr>
      <t>端逻辑相同，</t>
    </r>
    <r>
      <rPr>
        <sz val="9"/>
        <rFont val="Arial"/>
        <charset val="134"/>
      </rPr>
      <t>UI</t>
    </r>
    <r>
      <rPr>
        <sz val="9"/>
        <rFont val="Noto Sans CJK SC"/>
        <charset val="134"/>
      </rPr>
      <t>适配移动端）：①选产品</t>
    </r>
    <r>
      <rPr>
        <sz val="9"/>
        <rFont val="Arial"/>
        <charset val="134"/>
      </rPr>
      <t>/</t>
    </r>
    <r>
      <rPr>
        <sz val="9"/>
        <rFont val="Noto Sans CJK SC"/>
        <charset val="134"/>
      </rPr>
      <t>保司→基本信息→②被保人</t>
    </r>
    <r>
      <rPr>
        <sz val="9"/>
        <rFont val="Arial"/>
        <charset val="134"/>
      </rPr>
      <t>/</t>
    </r>
    <r>
      <rPr>
        <sz val="9"/>
        <rFont val="Noto Sans CJK SC"/>
        <charset val="134"/>
      </rPr>
      <t>投保人信息（身份证扫描</t>
    </r>
    <r>
      <rPr>
        <sz val="9"/>
        <rFont val="Arial"/>
        <charset val="134"/>
      </rPr>
      <t>OCR</t>
    </r>
    <r>
      <rPr>
        <sz val="9"/>
        <rFont val="Noto Sans CJK SC"/>
        <charset val="134"/>
      </rPr>
      <t>辅助填充）→③附件拍照上传（首页</t>
    </r>
    <r>
      <rPr>
        <sz val="9"/>
        <rFont val="Arial"/>
        <charset val="134"/>
      </rPr>
      <t>/</t>
    </r>
    <r>
      <rPr>
        <sz val="9"/>
        <rFont val="Noto Sans CJK SC"/>
        <charset val="134"/>
      </rPr>
      <t>健告书等）；录入后自动匹配客户档案；触发佣金预计算；提交成功弹窗显示预计佣金金额。复用阶段</t>
    </r>
    <r>
      <rPr>
        <sz val="9"/>
        <rFont val="Arial"/>
        <charset val="134"/>
      </rPr>
      <t>7 PC</t>
    </r>
    <r>
      <rPr>
        <sz val="9"/>
        <rFont val="Noto Sans CJK SC"/>
        <charset val="134"/>
      </rPr>
      <t>端后端接口，前端独立开发移动端</t>
    </r>
    <r>
      <rPr>
        <sz val="9"/>
        <rFont val="Arial"/>
        <charset val="134"/>
      </rPr>
      <t>UI</t>
    </r>
    <r>
      <rPr>
        <sz val="9"/>
        <rFont val="Noto Sans CJK SC"/>
        <charset val="134"/>
      </rPr>
      <t>。</t>
    </r>
  </si>
  <si>
    <t>与PC端共用后端接口；App端OCR扫描证件；拍照上传OSS</t>
  </si>
  <si>
    <t>我的寿险保单(App)</t>
  </si>
  <si>
    <r>
      <rPr>
        <sz val="9"/>
        <rFont val="Arial"/>
        <charset val="134"/>
      </rPr>
      <t>App</t>
    </r>
    <r>
      <rPr>
        <sz val="9"/>
        <rFont val="Noto Sans CJK SC"/>
        <charset val="134"/>
      </rPr>
      <t>端展示本业务员名下寿险保单列表：默认按录入时间倒序；搜索（保单号</t>
    </r>
    <r>
      <rPr>
        <sz val="9"/>
        <rFont val="Arial"/>
        <charset val="134"/>
      </rPr>
      <t>/</t>
    </r>
    <r>
      <rPr>
        <sz val="9"/>
        <rFont val="Noto Sans CJK SC"/>
        <charset val="134"/>
      </rPr>
      <t>被保人</t>
    </r>
    <r>
      <rPr>
        <sz val="9"/>
        <rFont val="Arial"/>
        <charset val="134"/>
      </rPr>
      <t>/</t>
    </r>
    <r>
      <rPr>
        <sz val="9"/>
        <rFont val="Noto Sans CJK SC"/>
        <charset val="134"/>
      </rPr>
      <t>险种）；状态</t>
    </r>
    <r>
      <rPr>
        <sz val="9"/>
        <rFont val="Arial"/>
        <charset val="134"/>
      </rPr>
      <t>Tab</t>
    </r>
    <r>
      <rPr>
        <sz val="9"/>
        <rFont val="Noto Sans CJK SC"/>
        <charset val="134"/>
      </rPr>
      <t>（全部</t>
    </r>
    <r>
      <rPr>
        <sz val="9"/>
        <rFont val="Arial"/>
        <charset val="134"/>
      </rPr>
      <t>/</t>
    </r>
    <r>
      <rPr>
        <sz val="9"/>
        <rFont val="Noto Sans CJK SC"/>
        <charset val="134"/>
      </rPr>
      <t>有效</t>
    </r>
    <r>
      <rPr>
        <sz val="9"/>
        <rFont val="Arial"/>
        <charset val="134"/>
      </rPr>
      <t>/</t>
    </r>
    <r>
      <rPr>
        <sz val="9"/>
        <rFont val="Noto Sans CJK SC"/>
        <charset val="134"/>
      </rPr>
      <t>待续</t>
    </r>
    <r>
      <rPr>
        <sz val="9"/>
        <rFont val="Arial"/>
        <charset val="134"/>
      </rPr>
      <t>/</t>
    </r>
    <r>
      <rPr>
        <sz val="9"/>
        <rFont val="Noto Sans CJK SC"/>
        <charset val="134"/>
      </rPr>
      <t>退保）；点击进入保单详情（含被保人</t>
    </r>
    <r>
      <rPr>
        <sz val="9"/>
        <rFont val="Arial"/>
        <charset val="134"/>
      </rPr>
      <t>/</t>
    </r>
    <r>
      <rPr>
        <sz val="9"/>
        <rFont val="Noto Sans CJK SC"/>
        <charset val="134"/>
      </rPr>
      <t>保司</t>
    </r>
    <r>
      <rPr>
        <sz val="9"/>
        <rFont val="Arial"/>
        <charset val="134"/>
      </rPr>
      <t>/</t>
    </r>
    <r>
      <rPr>
        <sz val="9"/>
        <rFont val="Noto Sans CJK SC"/>
        <charset val="134"/>
      </rPr>
      <t>保额</t>
    </r>
    <r>
      <rPr>
        <sz val="9"/>
        <rFont val="Arial"/>
        <charset val="134"/>
      </rPr>
      <t>/</t>
    </r>
    <r>
      <rPr>
        <sz val="9"/>
        <rFont val="Noto Sans CJK SC"/>
        <charset val="134"/>
      </rPr>
      <t>到期日</t>
    </r>
    <r>
      <rPr>
        <sz val="9"/>
        <rFont val="Arial"/>
        <charset val="134"/>
      </rPr>
      <t>/</t>
    </r>
    <r>
      <rPr>
        <sz val="9"/>
        <rFont val="Noto Sans CJK SC"/>
        <charset val="134"/>
      </rPr>
      <t>佣金状态）；操作：编辑</t>
    </r>
    <r>
      <rPr>
        <sz val="9"/>
        <rFont val="Arial"/>
        <charset val="134"/>
      </rPr>
      <t>/</t>
    </r>
    <r>
      <rPr>
        <sz val="9"/>
        <rFont val="Noto Sans CJK SC"/>
        <charset val="134"/>
      </rPr>
      <t>发起保全</t>
    </r>
    <r>
      <rPr>
        <sz val="9"/>
        <rFont val="Arial"/>
        <charset val="134"/>
      </rPr>
      <t>/</t>
    </r>
    <r>
      <rPr>
        <sz val="9"/>
        <rFont val="Noto Sans CJK SC"/>
        <charset val="134"/>
      </rPr>
      <t>续期跟踪；支持分享保单信息给客户（</t>
    </r>
    <r>
      <rPr>
        <sz val="9"/>
        <rFont val="Arial"/>
        <charset val="134"/>
      </rPr>
      <t>H5</t>
    </r>
    <r>
      <rPr>
        <sz val="9"/>
        <rFont val="Noto Sans CJK SC"/>
        <charset val="134"/>
      </rPr>
      <t>链接）。</t>
    </r>
  </si>
  <si>
    <t>数据从PC端同一后端接口获取；H5分享链接生成</t>
  </si>
  <si>
    <t>续期提醒与跟踪(App)</t>
  </si>
  <si>
    <r>
      <rPr>
        <sz val="9"/>
        <rFont val="Arial"/>
        <charset val="134"/>
      </rPr>
      <t>App</t>
    </r>
    <r>
      <rPr>
        <sz val="9"/>
        <rFont val="Noto Sans CJK SC"/>
        <charset val="134"/>
      </rPr>
      <t>首页续期到期提醒卡片（近</t>
    </r>
    <r>
      <rPr>
        <sz val="9"/>
        <rFont val="Arial"/>
        <charset val="134"/>
      </rPr>
      <t>30/60/90</t>
    </r>
    <r>
      <rPr>
        <sz val="9"/>
        <rFont val="Noto Sans CJK SC"/>
        <charset val="134"/>
      </rPr>
      <t>天到期保单数）；「续期待办」</t>
    </r>
    <r>
      <rPr>
        <sz val="9"/>
        <rFont val="Arial"/>
        <charset val="134"/>
      </rPr>
      <t>Tab</t>
    </r>
    <r>
      <rPr>
        <sz val="9"/>
        <rFont val="Noto Sans CJK SC"/>
        <charset val="134"/>
      </rPr>
      <t>：按紧急程度列表（红</t>
    </r>
    <r>
      <rPr>
        <sz val="9"/>
        <rFont val="Arial"/>
        <charset val="134"/>
      </rPr>
      <t>&lt;15</t>
    </r>
    <r>
      <rPr>
        <sz val="9"/>
        <rFont val="Noto Sans CJK SC"/>
        <charset val="134"/>
      </rPr>
      <t>天</t>
    </r>
    <r>
      <rPr>
        <sz val="9"/>
        <rFont val="Arial"/>
        <charset val="134"/>
      </rPr>
      <t>/</t>
    </r>
    <r>
      <rPr>
        <sz val="9"/>
        <rFont val="Noto Sans CJK SC"/>
        <charset val="134"/>
      </rPr>
      <t>橙</t>
    </r>
    <r>
      <rPr>
        <sz val="9"/>
        <rFont val="Arial"/>
        <charset val="134"/>
      </rPr>
      <t>15-30</t>
    </r>
    <r>
      <rPr>
        <sz val="9"/>
        <rFont val="Noto Sans CJK SC"/>
        <charset val="134"/>
      </rPr>
      <t>天）；点击保单→一键拨打客户电话</t>
    </r>
    <r>
      <rPr>
        <sz val="9"/>
        <rFont val="Arial"/>
        <charset val="134"/>
      </rPr>
      <t>/</t>
    </r>
    <r>
      <rPr>
        <sz val="9"/>
        <rFont val="Noto Sans CJK SC"/>
        <charset val="134"/>
      </rPr>
      <t>发微信→录入跟进记录（联系结果</t>
    </r>
    <r>
      <rPr>
        <sz val="9"/>
        <rFont val="Arial"/>
        <charset val="134"/>
      </rPr>
      <t>/</t>
    </r>
    <r>
      <rPr>
        <sz val="9"/>
        <rFont val="Noto Sans CJK SC"/>
        <charset val="134"/>
      </rPr>
      <t>意向</t>
    </r>
    <r>
      <rPr>
        <sz val="9"/>
        <rFont val="Arial"/>
        <charset val="134"/>
      </rPr>
      <t>/</t>
    </r>
    <r>
      <rPr>
        <sz val="9"/>
        <rFont val="Noto Sans CJK SC"/>
        <charset val="134"/>
      </rPr>
      <t>下次跟进时间）；跟进成功提示自动更新续保状态。</t>
    </r>
  </si>
  <si>
    <t>与PC端续期看板数据联动；极光推送提醒</t>
  </si>
  <si>
    <r>
      <rPr>
        <sz val="9"/>
        <rFont val="Noto Sans CJK SC"/>
        <charset val="134"/>
      </rPr>
      <t>保全申请（</t>
    </r>
    <r>
      <rPr>
        <sz val="9"/>
        <rFont val="宋体-简"/>
        <charset val="134"/>
      </rPr>
      <t>App</t>
    </r>
    <r>
      <rPr>
        <sz val="9"/>
        <rFont val="Noto Sans CJK SC"/>
        <charset val="134"/>
      </rPr>
      <t>）</t>
    </r>
  </si>
  <si>
    <r>
      <rPr>
        <sz val="9"/>
        <rFont val="Arial"/>
        <charset val="134"/>
      </rPr>
      <t>App</t>
    </r>
    <r>
      <rPr>
        <sz val="9"/>
        <rFont val="Noto Sans CJK SC"/>
        <charset val="134"/>
      </rPr>
      <t>端发起保全申请（地址变更</t>
    </r>
    <r>
      <rPr>
        <sz val="9"/>
        <rFont val="Arial"/>
        <charset val="134"/>
      </rPr>
      <t>/</t>
    </r>
    <r>
      <rPr>
        <sz val="9"/>
        <rFont val="Noto Sans CJK SC"/>
        <charset val="134"/>
      </rPr>
      <t>受益人变更</t>
    </r>
    <r>
      <rPr>
        <sz val="9"/>
        <rFont val="Arial"/>
        <charset val="134"/>
      </rPr>
      <t>/</t>
    </r>
    <r>
      <rPr>
        <sz val="9"/>
        <rFont val="Noto Sans CJK SC"/>
        <charset val="134"/>
      </rPr>
      <t>减保</t>
    </r>
    <r>
      <rPr>
        <sz val="9"/>
        <rFont val="Arial"/>
        <charset val="134"/>
      </rPr>
      <t>/</t>
    </r>
    <r>
      <rPr>
        <sz val="9"/>
        <rFont val="Noto Sans CJK SC"/>
        <charset val="134"/>
      </rPr>
      <t>部分退保等类型）；引导业务员拍照上传所需材料；提交后进入</t>
    </r>
    <r>
      <rPr>
        <sz val="9"/>
        <rFont val="Arial"/>
        <charset val="134"/>
      </rPr>
      <t>PC</t>
    </r>
    <r>
      <rPr>
        <sz val="9"/>
        <rFont val="Noto Sans CJK SC"/>
        <charset val="134"/>
      </rPr>
      <t>端保全审核流程（</t>
    </r>
    <r>
      <rPr>
        <sz val="9"/>
        <rFont val="Arial"/>
        <charset val="134"/>
      </rPr>
      <t>Flowable</t>
    </r>
    <r>
      <rPr>
        <sz val="9"/>
        <rFont val="Noto Sans CJK SC"/>
        <charset val="134"/>
      </rPr>
      <t>工作流）；</t>
    </r>
    <r>
      <rPr>
        <sz val="9"/>
        <rFont val="Arial"/>
        <charset val="134"/>
      </rPr>
      <t>App</t>
    </r>
    <r>
      <rPr>
        <sz val="9"/>
        <rFont val="Noto Sans CJK SC"/>
        <charset val="134"/>
      </rPr>
      <t>端可查看保全进度（待审</t>
    </r>
    <r>
      <rPr>
        <sz val="9"/>
        <rFont val="Arial"/>
        <charset val="134"/>
      </rPr>
      <t>/</t>
    </r>
    <r>
      <rPr>
        <sz val="9"/>
        <rFont val="Noto Sans CJK SC"/>
        <charset val="134"/>
      </rPr>
      <t>审核中</t>
    </r>
    <r>
      <rPr>
        <sz val="9"/>
        <rFont val="Arial"/>
        <charset val="134"/>
      </rPr>
      <t>/</t>
    </r>
    <r>
      <rPr>
        <sz val="9"/>
        <rFont val="Noto Sans CJK SC"/>
        <charset val="134"/>
      </rPr>
      <t>已完成</t>
    </r>
    <r>
      <rPr>
        <sz val="9"/>
        <rFont val="Arial"/>
        <charset val="134"/>
      </rPr>
      <t>/</t>
    </r>
    <r>
      <rPr>
        <sz val="9"/>
        <rFont val="Noto Sans CJK SC"/>
        <charset val="134"/>
      </rPr>
      <t>拒绝）；审核结果推送</t>
    </r>
    <r>
      <rPr>
        <sz val="9"/>
        <rFont val="Arial"/>
        <charset val="134"/>
      </rPr>
      <t>App</t>
    </r>
    <r>
      <rPr>
        <sz val="9"/>
        <rFont val="Noto Sans CJK SC"/>
        <charset val="134"/>
      </rPr>
      <t>通知；复用阶段</t>
    </r>
    <r>
      <rPr>
        <sz val="9"/>
        <rFont val="Arial"/>
        <charset val="134"/>
      </rPr>
      <t>7 PC</t>
    </r>
    <r>
      <rPr>
        <sz val="9"/>
        <rFont val="Noto Sans CJK SC"/>
        <charset val="134"/>
      </rPr>
      <t xml:space="preserve">端 </t>
    </r>
    <r>
      <rPr>
        <sz val="9"/>
        <rFont val="Arial"/>
        <charset val="134"/>
      </rPr>
      <t xml:space="preserve">ins_life_conservation </t>
    </r>
    <r>
      <rPr>
        <sz val="9"/>
        <rFont val="Noto Sans CJK SC"/>
        <charset val="134"/>
      </rPr>
      <t>相关后端接口</t>
    </r>
  </si>
  <si>
    <r>
      <rPr>
        <sz val="9"/>
        <rFont val="Arial"/>
        <charset val="134"/>
      </rPr>
      <t>Flowable</t>
    </r>
    <r>
      <rPr>
        <sz val="9"/>
        <rFont val="Noto Sans CJK SC"/>
        <charset val="134"/>
      </rPr>
      <t>工作流</t>
    </r>
    <r>
      <rPr>
        <sz val="9"/>
        <rFont val="Arial"/>
        <charset val="134"/>
      </rPr>
      <t>App</t>
    </r>
    <r>
      <rPr>
        <sz val="9"/>
        <rFont val="Noto Sans CJK SC"/>
        <charset val="134"/>
      </rPr>
      <t>端入口；材料上传</t>
    </r>
    <r>
      <rPr>
        <sz val="9"/>
        <rFont val="Arial"/>
        <charset val="134"/>
      </rPr>
      <t>OSS</t>
    </r>
  </si>
  <si>
    <r>
      <rPr>
        <sz val="9"/>
        <rFont val="Noto Sans CJK SC"/>
        <charset val="134"/>
      </rPr>
      <t>前端</t>
    </r>
    <r>
      <rPr>
        <sz val="9"/>
        <rFont val="Arial"/>
        <charset val="134"/>
      </rPr>
      <t>1+</t>
    </r>
    <r>
      <rPr>
        <sz val="9"/>
        <rFont val="Noto Sans CJK SC"/>
        <charset val="134"/>
      </rPr>
      <t>后端</t>
    </r>
    <r>
      <rPr>
        <sz val="9"/>
        <rFont val="Arial"/>
        <charset val="134"/>
      </rPr>
      <t>1</t>
    </r>
  </si>
  <si>
    <t>保单健康度看板</t>
  </si>
  <si>
    <r>
      <rPr>
        <sz val="9"/>
        <rFont val="Arial"/>
        <charset val="134"/>
      </rPr>
      <t>App</t>
    </r>
    <r>
      <rPr>
        <sz val="9"/>
        <rFont val="Noto Sans CJK SC"/>
        <charset val="134"/>
      </rPr>
      <t>首页</t>
    </r>
    <r>
      <rPr>
        <sz val="9"/>
        <rFont val="Arial"/>
        <charset val="134"/>
      </rPr>
      <t>"</t>
    </r>
    <r>
      <rPr>
        <sz val="9"/>
        <rFont val="Noto Sans CJK SC"/>
        <charset val="134"/>
      </rPr>
      <t>我的寿险保单</t>
    </r>
    <r>
      <rPr>
        <sz val="9"/>
        <rFont val="Arial"/>
        <charset val="134"/>
      </rPr>
      <t>"</t>
    </r>
    <r>
      <rPr>
        <sz val="9"/>
        <rFont val="Noto Sans CJK SC"/>
        <charset val="134"/>
      </rPr>
      <t>增加健康度概览：展示业务员名下保单的整体质量指标（有效保单数</t>
    </r>
    <r>
      <rPr>
        <sz val="9"/>
        <rFont val="Arial"/>
        <charset val="134"/>
      </rPr>
      <t>/</t>
    </r>
    <r>
      <rPr>
        <sz val="9"/>
        <rFont val="Noto Sans CJK SC"/>
        <charset val="134"/>
      </rPr>
      <t>续期完成率</t>
    </r>
    <r>
      <rPr>
        <sz val="9"/>
        <rFont val="Arial"/>
        <charset val="134"/>
      </rPr>
      <t>/</t>
    </r>
    <r>
      <rPr>
        <sz val="9"/>
        <rFont val="Noto Sans CJK SC"/>
        <charset val="134"/>
      </rPr>
      <t>保全申请待办数</t>
    </r>
    <r>
      <rPr>
        <sz val="9"/>
        <rFont val="Arial"/>
        <charset val="134"/>
      </rPr>
      <t>/</t>
    </r>
    <r>
      <rPr>
        <sz val="9"/>
        <rFont val="Noto Sans CJK SC"/>
        <charset val="134"/>
      </rPr>
      <t>近期到期保单数）；点击各指标跳转对应保单列表；月度健康分（</t>
    </r>
    <r>
      <rPr>
        <sz val="9"/>
        <rFont val="Arial"/>
        <charset val="134"/>
      </rPr>
      <t>0-100</t>
    </r>
    <r>
      <rPr>
        <sz val="9"/>
        <rFont val="Noto Sans CJK SC"/>
        <charset val="134"/>
      </rPr>
      <t>分）：续期率每</t>
    </r>
    <r>
      <rPr>
        <sz val="9"/>
        <rFont val="Arial"/>
        <charset val="134"/>
      </rPr>
      <t>+10%</t>
    </r>
    <r>
      <rPr>
        <sz val="9"/>
        <rFont val="Noto Sans CJK SC"/>
        <charset val="134"/>
      </rPr>
      <t>加</t>
    </r>
    <r>
      <rPr>
        <sz val="9"/>
        <rFont val="Arial"/>
        <charset val="134"/>
      </rPr>
      <t>10</t>
    </r>
    <r>
      <rPr>
        <sz val="9"/>
        <rFont val="Noto Sans CJK SC"/>
        <charset val="134"/>
      </rPr>
      <t>分，退保率每</t>
    </r>
    <r>
      <rPr>
        <sz val="9"/>
        <rFont val="Arial"/>
        <charset val="134"/>
      </rPr>
      <t>+5%</t>
    </r>
    <r>
      <rPr>
        <sz val="9"/>
        <rFont val="Noto Sans CJK SC"/>
        <charset val="134"/>
      </rPr>
      <t>扣</t>
    </r>
    <r>
      <rPr>
        <sz val="9"/>
        <rFont val="Arial"/>
        <charset val="134"/>
      </rPr>
      <t>10</t>
    </r>
    <r>
      <rPr>
        <sz val="9"/>
        <rFont val="Noto Sans CJK SC"/>
        <charset val="134"/>
      </rPr>
      <t>分；趋势折线图（近</t>
    </r>
    <r>
      <rPr>
        <sz val="9"/>
        <rFont val="Arial"/>
        <charset val="134"/>
      </rPr>
      <t>6</t>
    </r>
    <r>
      <rPr>
        <sz val="9"/>
        <rFont val="Noto Sans CJK SC"/>
        <charset val="134"/>
      </rPr>
      <t>月）；数据从</t>
    </r>
    <r>
      <rPr>
        <sz val="9"/>
        <rFont val="Arial"/>
        <charset val="134"/>
      </rPr>
      <t>PC</t>
    </r>
    <r>
      <rPr>
        <sz val="9"/>
        <rFont val="Noto Sans CJK SC"/>
        <charset val="134"/>
      </rPr>
      <t>端寿险业绩数据接口汇聚</t>
    </r>
  </si>
  <si>
    <t>健康度算法设计，数据多表聚合</t>
  </si>
  <si>
    <r>
      <rPr>
        <sz val="9"/>
        <rFont val="Noto Sans CJK SC"/>
        <charset val="134"/>
      </rPr>
      <t>批量影像件上传（</t>
    </r>
    <r>
      <rPr>
        <sz val="9"/>
        <rFont val="宋体-简"/>
        <charset val="134"/>
      </rPr>
      <t>App</t>
    </r>
    <r>
      <rPr>
        <sz val="9"/>
        <rFont val="Noto Sans CJK SC"/>
        <charset val="134"/>
      </rPr>
      <t>）</t>
    </r>
  </si>
  <si>
    <r>
      <rPr>
        <sz val="9"/>
        <rFont val="Noto Sans CJK SC"/>
        <charset val="134"/>
      </rPr>
      <t>批量为多张保单上传影像件（首页</t>
    </r>
    <r>
      <rPr>
        <sz val="9"/>
        <rFont val="Arial"/>
        <charset val="134"/>
      </rPr>
      <t>/</t>
    </r>
    <r>
      <rPr>
        <sz val="9"/>
        <rFont val="Noto Sans CJK SC"/>
        <charset val="134"/>
      </rPr>
      <t>健康告知书</t>
    </r>
    <r>
      <rPr>
        <sz val="9"/>
        <rFont val="Arial"/>
        <charset val="134"/>
      </rPr>
      <t>/</t>
    </r>
    <r>
      <rPr>
        <sz val="9"/>
        <rFont val="Noto Sans CJK SC"/>
        <charset val="134"/>
      </rPr>
      <t>体检报告等）；支持拍照</t>
    </r>
    <r>
      <rPr>
        <sz val="9"/>
        <rFont val="Arial"/>
        <charset val="134"/>
      </rPr>
      <t>+</t>
    </r>
    <r>
      <rPr>
        <sz val="9"/>
        <rFont val="Noto Sans CJK SC"/>
        <charset val="134"/>
      </rPr>
      <t>相册选择；最多同时处理</t>
    </r>
    <r>
      <rPr>
        <sz val="9"/>
        <rFont val="Arial"/>
        <charset val="134"/>
      </rPr>
      <t>10</t>
    </r>
    <r>
      <rPr>
        <sz val="9"/>
        <rFont val="Noto Sans CJK SC"/>
        <charset val="134"/>
      </rPr>
      <t>张保单；每张保单最多</t>
    </r>
    <r>
      <rPr>
        <sz val="9"/>
        <rFont val="Arial"/>
        <charset val="134"/>
      </rPr>
      <t>9</t>
    </r>
    <r>
      <rPr>
        <sz val="9"/>
        <rFont val="Noto Sans CJK SC"/>
        <charset val="134"/>
      </rPr>
      <t>张图片；压缩后（最大</t>
    </r>
    <r>
      <rPr>
        <sz val="9"/>
        <rFont val="Arial"/>
        <charset val="134"/>
      </rPr>
      <t>2M/</t>
    </r>
    <r>
      <rPr>
        <sz val="9"/>
        <rFont val="Noto Sans CJK SC"/>
        <charset val="134"/>
      </rPr>
      <t>张）上传</t>
    </r>
    <r>
      <rPr>
        <sz val="9"/>
        <rFont val="Arial"/>
        <charset val="134"/>
      </rPr>
      <t>OSS</t>
    </r>
    <r>
      <rPr>
        <sz val="9"/>
        <rFont val="Noto Sans CJK SC"/>
        <charset val="134"/>
      </rPr>
      <t>；上传进度条展示；成功后自动关联保单影像记录（</t>
    </r>
    <r>
      <rPr>
        <sz val="9"/>
        <rFont val="Arial"/>
        <charset val="134"/>
      </rPr>
      <t>ins_life_policy_attachment</t>
    </r>
    <r>
      <rPr>
        <sz val="9"/>
        <rFont val="Noto Sans CJK SC"/>
        <charset val="134"/>
      </rPr>
      <t>）；复用</t>
    </r>
    <r>
      <rPr>
        <sz val="9"/>
        <rFont val="Arial"/>
        <charset val="134"/>
      </rPr>
      <t>PC</t>
    </r>
    <r>
      <rPr>
        <sz val="9"/>
        <rFont val="Noto Sans CJK SC"/>
        <charset val="134"/>
      </rPr>
      <t>端批量影像件接口</t>
    </r>
  </si>
  <si>
    <t>移动端批量图片压缩上传，进度反馈</t>
  </si>
  <si>
    <r>
      <rPr>
        <sz val="9"/>
        <rFont val="Noto Sans CJK SC"/>
        <charset val="134"/>
      </rPr>
      <t>回访记录（</t>
    </r>
    <r>
      <rPr>
        <sz val="9"/>
        <rFont val="宋体-简"/>
        <charset val="134"/>
      </rPr>
      <t>App</t>
    </r>
    <r>
      <rPr>
        <sz val="9"/>
        <rFont val="Noto Sans CJK SC"/>
        <charset val="134"/>
      </rPr>
      <t>）</t>
    </r>
  </si>
  <si>
    <r>
      <rPr>
        <sz val="9"/>
        <rFont val="Arial"/>
        <charset val="134"/>
      </rPr>
      <t>App</t>
    </r>
    <r>
      <rPr>
        <sz val="9"/>
        <rFont val="Noto Sans CJK SC"/>
        <charset val="134"/>
      </rPr>
      <t>端快速记录回访：选择保单→选择回访类型（电话</t>
    </r>
    <r>
      <rPr>
        <sz val="9"/>
        <rFont val="Arial"/>
        <charset val="134"/>
      </rPr>
      <t>/</t>
    </r>
    <r>
      <rPr>
        <sz val="9"/>
        <rFont val="Noto Sans CJK SC"/>
        <charset val="134"/>
      </rPr>
      <t>上门</t>
    </r>
    <r>
      <rPr>
        <sz val="9"/>
        <rFont val="Arial"/>
        <charset val="134"/>
      </rPr>
      <t>/</t>
    </r>
    <r>
      <rPr>
        <sz val="9"/>
        <rFont val="Noto Sans CJK SC"/>
        <charset val="134"/>
      </rPr>
      <t>微信）→填写回访内容（关键问题</t>
    </r>
    <r>
      <rPr>
        <sz val="9"/>
        <rFont val="Arial"/>
        <charset val="134"/>
      </rPr>
      <t>+</t>
    </r>
    <r>
      <rPr>
        <sz val="9"/>
        <rFont val="Noto Sans CJK SC"/>
        <charset val="134"/>
      </rPr>
      <t>客户反馈）→评分（</t>
    </r>
    <r>
      <rPr>
        <sz val="9"/>
        <rFont val="Arial"/>
        <charset val="134"/>
      </rPr>
      <t>1-5</t>
    </r>
    <r>
      <rPr>
        <sz val="9"/>
        <rFont val="Noto Sans CJK SC"/>
        <charset val="134"/>
      </rPr>
      <t>星客户满意度）→下次回访时间；语音转文字（讯飞</t>
    </r>
    <r>
      <rPr>
        <sz val="9"/>
        <rFont val="Arial"/>
        <charset val="134"/>
      </rPr>
      <t>SDK</t>
    </r>
    <r>
      <rPr>
        <sz val="9"/>
        <rFont val="Noto Sans CJK SC"/>
        <charset val="134"/>
      </rPr>
      <t>）辅助填写回访内容（可选）；提交后同步至</t>
    </r>
    <r>
      <rPr>
        <sz val="9"/>
        <rFont val="Arial"/>
        <charset val="134"/>
      </rPr>
      <t>PC</t>
    </r>
    <r>
      <rPr>
        <sz val="9"/>
        <rFont val="Noto Sans CJK SC"/>
        <charset val="134"/>
      </rPr>
      <t>端回访管理列表；业务员首页显示</t>
    </r>
    <r>
      <rPr>
        <sz val="9"/>
        <rFont val="Arial"/>
        <charset val="134"/>
      </rPr>
      <t>"</t>
    </r>
    <r>
      <rPr>
        <sz val="9"/>
        <rFont val="Noto Sans CJK SC"/>
        <charset val="134"/>
      </rPr>
      <t>今日待回访</t>
    </r>
    <r>
      <rPr>
        <sz val="9"/>
        <rFont val="Arial"/>
        <charset val="134"/>
      </rPr>
      <t>"</t>
    </r>
    <r>
      <rPr>
        <sz val="9"/>
        <rFont val="Noto Sans CJK SC"/>
        <charset val="134"/>
      </rPr>
      <t>数字提醒；</t>
    </r>
    <r>
      <rPr>
        <sz val="9"/>
        <rFont val="Arial"/>
        <charset val="134"/>
      </rPr>
      <t>ins_life_visit_record</t>
    </r>
  </si>
  <si>
    <r>
      <rPr>
        <sz val="9"/>
        <rFont val="Noto Sans CJK SC"/>
        <charset val="134"/>
      </rPr>
      <t>语音转文字可选集成；数据</t>
    </r>
    <r>
      <rPr>
        <sz val="9"/>
        <rFont val="Arial"/>
        <charset val="134"/>
      </rPr>
      <t>PC/App</t>
    </r>
    <r>
      <rPr>
        <sz val="9"/>
        <rFont val="Noto Sans CJK SC"/>
        <charset val="134"/>
      </rPr>
      <t>双端同步</t>
    </r>
  </si>
  <si>
    <t>寿险客户管理(App)</t>
  </si>
  <si>
    <t>寿险客户列表(App)</t>
  </si>
  <si>
    <t>业务员名下寿险客户列表：支持按姓名/手机号搜索；客户卡片：姓名/持有寿险保单数/最近跟进时间/客户等级；按等级/持单数/跟进时间排序；长按批量操作（添加标签/移入跟进计划）；复用App端非车险CRM客户列表UI组件，按险种类型过滤。</t>
  </si>
  <si>
    <t>复用非车险CRM客户模块；按险种过滤数据</t>
  </si>
  <si>
    <t>寿险客户详情(App)</t>
  </si>
  <si>
    <t>客户详情增强：基本信息/联系方式/家庭成员/跟进记录时间轴/寿险保单清单/健康档案（保险相关健康问题记录）；寿险专属操作：「制作计划书」「发起保全」「记录续期」；可查看客户历史投保产品的健告答案摘要（敏感字段权限控制）。</t>
  </si>
  <si>
    <t>寿险客户与通用CRM共享数据；健告敏感信息权限控制</t>
  </si>
  <si>
    <t>寿险客户保障地图</t>
  </si>
  <si>
    <t>可视化展示单个客户的寿险保障全貌：以"人生阶段"为横轴（青年/中年/退休）、以"风险类型"为纵轴（身故/重疾/医疗/养老/教育）绘制保障地图；已投保区域绿色填充，缺口区域红色标注；点击区域推荐对应寿险产品；帮助业务员在客户面谈时直观展示需求；导出图片功能供分享</t>
  </si>
  <si>
    <t>保障地图可视化（SVG/Canvas）；缺口算法</t>
  </si>
  <si>
    <t>孤儿单客户管理</t>
  </si>
  <si>
    <t>显示被分配给当前业务员的孤儿单客户（来自PC端孤儿单分配）；列表展示客户基本信息+原业务员+分配时间+保单状态；优先跟进提示（孤儿单客户竞争激烈，系统标记"高优先级"）；提供联系客户、查看保单详情、创建跟进计划的快捷操作；孤儿单转化成功（续期成功）触发奖励通知；数据来源：ins_life_orphan_policy关联查询</t>
  </si>
  <si>
    <t>孤儿单数据关联；高优先级标记逻辑</t>
  </si>
  <si>
    <r>
      <rPr>
        <sz val="9"/>
        <rFont val="Noto Sans CJK SC"/>
        <charset val="134"/>
      </rPr>
      <t>重要客户提醒（</t>
    </r>
    <r>
      <rPr>
        <sz val="9"/>
        <rFont val="宋体-简"/>
        <charset val="134"/>
      </rPr>
      <t>VIP</t>
    </r>
    <r>
      <rPr>
        <sz val="9"/>
        <rFont val="Noto Sans CJK SC"/>
        <charset val="134"/>
      </rPr>
      <t>）</t>
    </r>
  </si>
  <si>
    <t>系统自动识别VIP客户（累计保费≥5万或保单数≥5单）；VIP客户在列表置顶并显示VIP标识；生日前7天自动推送App提醒（含一键发祝福短信功能）；保单到期前提醒（30/15/7天3次提醒）；重大节日（春节/中秋）提醒维系；VIP客户联系统计（避免联系过于频繁，每周至多1次系统提醒）；ins_customer_vip_alert</t>
  </si>
  <si>
    <t>VIP识别规则；提醒频次控制</t>
  </si>
  <si>
    <t>寿险合规</t>
  </si>
  <si>
    <r>
      <rPr>
        <sz val="9"/>
        <rFont val="Noto Sans CJK SC"/>
        <charset val="134"/>
      </rPr>
      <t>双录发起（</t>
    </r>
    <r>
      <rPr>
        <sz val="9"/>
        <rFont val="宋体-简"/>
        <charset val="134"/>
      </rPr>
      <t>App</t>
    </r>
    <r>
      <rPr>
        <sz val="9"/>
        <rFont val="Noto Sans CJK SC"/>
        <charset val="134"/>
      </rPr>
      <t>）</t>
    </r>
  </si>
  <si>
    <r>
      <rPr>
        <sz val="9"/>
        <rFont val="Noto Sans CJK SC"/>
        <charset val="134"/>
      </rPr>
      <t>在寿险保单录入完成后，弹出</t>
    </r>
    <r>
      <rPr>
        <sz val="9"/>
        <rFont val="宋体-简"/>
        <charset val="134"/>
      </rPr>
      <t>"</t>
    </r>
    <r>
      <rPr>
        <sz val="9"/>
        <rFont val="Noto Sans CJK SC"/>
        <charset val="134"/>
      </rPr>
      <t>发起双录</t>
    </r>
    <r>
      <rPr>
        <sz val="9"/>
        <rFont val="宋体-简"/>
        <charset val="134"/>
      </rPr>
      <t>"</t>
    </r>
    <r>
      <rPr>
        <sz val="9"/>
        <rFont val="Noto Sans CJK SC"/>
        <charset val="134"/>
      </rPr>
      <t>引导；选择录制类型（视频双录</t>
    </r>
    <r>
      <rPr>
        <sz val="9"/>
        <rFont val="宋体-简"/>
        <charset val="134"/>
      </rPr>
      <t>/</t>
    </r>
    <r>
      <rPr>
        <sz val="9"/>
        <rFont val="Noto Sans CJK SC"/>
        <charset val="134"/>
      </rPr>
      <t>音频双录）；调用阶段</t>
    </r>
    <r>
      <rPr>
        <sz val="9"/>
        <rFont val="宋体-简"/>
        <charset val="134"/>
      </rPr>
      <t xml:space="preserve">5 ins-compliance </t>
    </r>
    <r>
      <rPr>
        <sz val="9"/>
        <rFont val="Noto Sans CJK SC"/>
        <charset val="134"/>
      </rPr>
      <t>模块接口创建双录任务；</t>
    </r>
    <r>
      <rPr>
        <sz val="9"/>
        <rFont val="宋体-简"/>
        <charset val="134"/>
      </rPr>
      <t>App</t>
    </r>
    <r>
      <rPr>
        <sz val="9"/>
        <rFont val="Noto Sans CJK SC"/>
        <charset val="134"/>
      </rPr>
      <t>端进入录制界面：摄像头采集</t>
    </r>
    <r>
      <rPr>
        <sz val="9"/>
        <rFont val="宋体-简"/>
        <charset val="134"/>
      </rPr>
      <t>+</t>
    </r>
    <r>
      <rPr>
        <sz val="9"/>
        <rFont val="Noto Sans CJK SC"/>
        <charset val="134"/>
      </rPr>
      <t>麦克风录音；录制关键节点（开场白</t>
    </r>
    <r>
      <rPr>
        <sz val="9"/>
        <rFont val="宋体-简"/>
        <charset val="134"/>
      </rPr>
      <t>/</t>
    </r>
    <r>
      <rPr>
        <sz val="9"/>
        <rFont val="Noto Sans CJK SC"/>
        <charset val="134"/>
      </rPr>
      <t>免责说明</t>
    </r>
    <r>
      <rPr>
        <sz val="9"/>
        <rFont val="宋体-简"/>
        <charset val="134"/>
      </rPr>
      <t>/</t>
    </r>
    <r>
      <rPr>
        <sz val="9"/>
        <rFont val="Noto Sans CJK SC"/>
        <charset val="134"/>
      </rPr>
      <t>客户确认环节）有进度提示；录制完成上传压缩视频到</t>
    </r>
    <r>
      <rPr>
        <sz val="9"/>
        <rFont val="宋体-简"/>
        <charset val="134"/>
      </rPr>
      <t>OSS</t>
    </r>
    <r>
      <rPr>
        <sz val="9"/>
        <rFont val="Noto Sans CJK SC"/>
        <charset val="134"/>
      </rPr>
      <t>；触发</t>
    </r>
    <r>
      <rPr>
        <sz val="9"/>
        <rFont val="宋体-简"/>
        <charset val="134"/>
      </rPr>
      <t>AI</t>
    </r>
    <r>
      <rPr>
        <sz val="9"/>
        <rFont val="Noto Sans CJK SC"/>
        <charset val="134"/>
      </rPr>
      <t>质检（异步）；状态：待录制</t>
    </r>
    <r>
      <rPr>
        <sz val="9"/>
        <rFont val="宋体-简"/>
        <charset val="134"/>
      </rPr>
      <t>/</t>
    </r>
    <r>
      <rPr>
        <sz val="9"/>
        <rFont val="Noto Sans CJK SC"/>
        <charset val="134"/>
      </rPr>
      <t>录制中</t>
    </r>
    <r>
      <rPr>
        <sz val="9"/>
        <rFont val="宋体-简"/>
        <charset val="134"/>
      </rPr>
      <t>/</t>
    </r>
    <r>
      <rPr>
        <sz val="9"/>
        <rFont val="Noto Sans CJK SC"/>
        <charset val="134"/>
      </rPr>
      <t>质检中</t>
    </r>
    <r>
      <rPr>
        <sz val="9"/>
        <rFont val="宋体-简"/>
        <charset val="134"/>
      </rPr>
      <t>/</t>
    </r>
    <r>
      <rPr>
        <sz val="9"/>
        <rFont val="Noto Sans CJK SC"/>
        <charset val="134"/>
      </rPr>
      <t>已通过</t>
    </r>
    <r>
      <rPr>
        <sz val="9"/>
        <rFont val="宋体-简"/>
        <charset val="134"/>
      </rPr>
      <t>/</t>
    </r>
    <r>
      <rPr>
        <sz val="9"/>
        <rFont val="Noto Sans CJK SC"/>
        <charset val="134"/>
      </rPr>
      <t>未通过；同阶段</t>
    </r>
    <r>
      <rPr>
        <sz val="9"/>
        <rFont val="宋体-简"/>
        <charset val="134"/>
      </rPr>
      <t>5</t>
    </r>
    <r>
      <rPr>
        <sz val="9"/>
        <rFont val="Noto Sans CJK SC"/>
        <charset val="134"/>
      </rPr>
      <t>双录功能打通</t>
    </r>
  </si>
  <si>
    <r>
      <rPr>
        <sz val="9"/>
        <rFont val="Noto Sans CJK SC"/>
        <charset val="134"/>
      </rPr>
      <t>调用</t>
    </r>
    <r>
      <rPr>
        <sz val="9"/>
        <rFont val="宋体-简"/>
        <charset val="134"/>
      </rPr>
      <t>ins-compliance</t>
    </r>
    <r>
      <rPr>
        <sz val="9"/>
        <rFont val="Noto Sans CJK SC"/>
        <charset val="134"/>
      </rPr>
      <t>接口；移动端音视频采集</t>
    </r>
  </si>
  <si>
    <r>
      <rPr>
        <sz val="9"/>
        <rFont val="Noto Sans CJK SC"/>
        <charset val="134"/>
      </rPr>
      <t>前端</t>
    </r>
    <r>
      <rPr>
        <sz val="9"/>
        <rFont val="宋体-简"/>
        <charset val="134"/>
      </rPr>
      <t>1+</t>
    </r>
    <r>
      <rPr>
        <sz val="9"/>
        <rFont val="Noto Sans CJK SC"/>
        <charset val="134"/>
      </rPr>
      <t>后端</t>
    </r>
    <r>
      <rPr>
        <sz val="9"/>
        <rFont val="宋体-简"/>
        <charset val="134"/>
      </rPr>
      <t>1</t>
    </r>
  </si>
  <si>
    <t>合规资质证件管理</t>
  </si>
  <si>
    <r>
      <rPr>
        <sz val="9"/>
        <rFont val="Noto Sans CJK SC"/>
        <charset val="134"/>
      </rPr>
      <t>业务员执业证</t>
    </r>
    <r>
      <rPr>
        <sz val="9"/>
        <rFont val="宋体-简"/>
        <charset val="134"/>
      </rPr>
      <t>/</t>
    </r>
    <r>
      <rPr>
        <sz val="9"/>
        <rFont val="Noto Sans CJK SC"/>
        <charset val="134"/>
      </rPr>
      <t>从业资格证等合规资质在</t>
    </r>
    <r>
      <rPr>
        <sz val="9"/>
        <rFont val="宋体-简"/>
        <charset val="134"/>
      </rPr>
      <t>App</t>
    </r>
    <r>
      <rPr>
        <sz val="9"/>
        <rFont val="Noto Sans CJK SC"/>
        <charset val="134"/>
      </rPr>
      <t>内管理：展示证件有效期、到期提前</t>
    </r>
    <r>
      <rPr>
        <sz val="9"/>
        <rFont val="宋体-简"/>
        <charset val="134"/>
      </rPr>
      <t>60</t>
    </r>
    <r>
      <rPr>
        <sz val="9"/>
        <rFont val="Noto Sans CJK SC"/>
        <charset val="134"/>
      </rPr>
      <t>天推送续期提醒；证件图片上传</t>
    </r>
    <r>
      <rPr>
        <sz val="9"/>
        <rFont val="宋体-简"/>
        <charset val="134"/>
      </rPr>
      <t>OSS</t>
    </r>
    <r>
      <rPr>
        <sz val="9"/>
        <rFont val="Noto Sans CJK SC"/>
        <charset val="134"/>
      </rPr>
      <t>（与</t>
    </r>
    <r>
      <rPr>
        <sz val="9"/>
        <rFont val="宋体-简"/>
        <charset val="134"/>
      </rPr>
      <t>PC</t>
    </r>
    <r>
      <rPr>
        <sz val="9"/>
        <rFont val="Noto Sans CJK SC"/>
        <charset val="134"/>
      </rPr>
      <t>人员管理共享数据）；监管要求的继续教育学时进度展示；年度合规培训完成状态（必修课标记合规属性）；证件即将到期列表给主管可见（方便管理督导）；数据来源：</t>
    </r>
    <r>
      <rPr>
        <sz val="9"/>
        <rFont val="宋体-简"/>
        <charset val="134"/>
      </rPr>
      <t>ins_agent_qualification</t>
    </r>
  </si>
  <si>
    <t>合规证件到期提醒；主管权限查看</t>
  </si>
  <si>
    <r>
      <rPr>
        <sz val="9"/>
        <rFont val="Arial"/>
        <charset val="134"/>
      </rPr>
      <t>(</t>
    </r>
    <r>
      <rPr>
        <sz val="9"/>
        <rFont val="Noto Sans CJK SC"/>
        <charset val="134"/>
      </rPr>
      <t>前端合计</t>
    </r>
    <r>
      <rPr>
        <sz val="9"/>
        <rFont val="Arial"/>
        <charset val="134"/>
      </rPr>
      <t>/</t>
    </r>
    <r>
      <rPr>
        <sz val="9"/>
        <rFont val="Noto Sans CJK SC"/>
        <charset val="134"/>
      </rPr>
      <t>后端合计</t>
    </r>
    <r>
      <rPr>
        <sz val="9"/>
        <rFont val="Arial"/>
        <charset val="134"/>
      </rPr>
      <t>)</t>
    </r>
  </si>
  <si>
    <t>寿险商城入口</t>
  </si>
  <si>
    <t>寿险产品列表(C端)</t>
  </si>
  <si>
    <r>
      <rPr>
        <sz val="9"/>
        <rFont val="Arial"/>
        <charset val="134"/>
      </rPr>
      <t>C</t>
    </r>
    <r>
      <rPr>
        <sz val="9"/>
        <rFont val="Noto Sans CJK SC"/>
        <charset val="134"/>
      </rPr>
      <t>端商城首页独立「寿险」</t>
    </r>
    <r>
      <rPr>
        <sz val="9"/>
        <rFont val="Arial"/>
        <charset val="134"/>
      </rPr>
      <t>Tab</t>
    </r>
    <r>
      <rPr>
        <sz val="9"/>
        <rFont val="Noto Sans CJK SC"/>
        <charset val="134"/>
      </rPr>
      <t>入口；产品分类：重疾险</t>
    </r>
    <r>
      <rPr>
        <sz val="9"/>
        <rFont val="Arial"/>
        <charset val="134"/>
      </rPr>
      <t>/</t>
    </r>
    <r>
      <rPr>
        <sz val="9"/>
        <rFont val="Noto Sans CJK SC"/>
        <charset val="134"/>
      </rPr>
      <t>寿险</t>
    </r>
    <r>
      <rPr>
        <sz val="9"/>
        <rFont val="Arial"/>
        <charset val="134"/>
      </rPr>
      <t>/</t>
    </r>
    <r>
      <rPr>
        <sz val="9"/>
        <rFont val="Noto Sans CJK SC"/>
        <charset val="134"/>
      </rPr>
      <t>医疗险</t>
    </r>
    <r>
      <rPr>
        <sz val="9"/>
        <rFont val="Arial"/>
        <charset val="134"/>
      </rPr>
      <t>/</t>
    </r>
    <r>
      <rPr>
        <sz val="9"/>
        <rFont val="Noto Sans CJK SC"/>
        <charset val="134"/>
      </rPr>
      <t>意外险</t>
    </r>
    <r>
      <rPr>
        <sz val="9"/>
        <rFont val="Arial"/>
        <charset val="134"/>
      </rPr>
      <t>/</t>
    </r>
    <r>
      <rPr>
        <sz val="9"/>
        <rFont val="Noto Sans CJK SC"/>
        <charset val="134"/>
      </rPr>
      <t>储蓄险；列表卡片：险种</t>
    </r>
    <r>
      <rPr>
        <sz val="9"/>
        <rFont val="Arial"/>
        <charset val="134"/>
      </rPr>
      <t>/</t>
    </r>
    <r>
      <rPr>
        <sz val="9"/>
        <rFont val="Noto Sans CJK SC"/>
        <charset val="134"/>
      </rPr>
      <t>名称</t>
    </r>
    <r>
      <rPr>
        <sz val="9"/>
        <rFont val="Arial"/>
        <charset val="134"/>
      </rPr>
      <t>/</t>
    </r>
    <r>
      <rPr>
        <sz val="9"/>
        <rFont val="Noto Sans CJK SC"/>
        <charset val="134"/>
      </rPr>
      <t>亮点</t>
    </r>
    <r>
      <rPr>
        <sz val="9"/>
        <rFont val="Arial"/>
        <charset val="134"/>
      </rPr>
      <t>3</t>
    </r>
    <r>
      <rPr>
        <sz val="9"/>
        <rFont val="Noto Sans CJK SC"/>
        <charset val="134"/>
      </rPr>
      <t>条</t>
    </r>
    <r>
      <rPr>
        <sz val="9"/>
        <rFont val="Arial"/>
        <charset val="134"/>
      </rPr>
      <t>/</t>
    </r>
    <r>
      <rPr>
        <sz val="9"/>
        <rFont val="Noto Sans CJK SC"/>
        <charset val="134"/>
      </rPr>
      <t>参考保费</t>
    </r>
    <r>
      <rPr>
        <sz val="9"/>
        <rFont val="Arial"/>
        <charset val="134"/>
      </rPr>
      <t>/</t>
    </r>
    <r>
      <rPr>
        <sz val="9"/>
        <rFont val="Noto Sans CJK SC"/>
        <charset val="134"/>
      </rPr>
      <t>保障期限</t>
    </r>
    <r>
      <rPr>
        <sz val="9"/>
        <rFont val="Arial"/>
        <charset val="134"/>
      </rPr>
      <t>/</t>
    </r>
    <r>
      <rPr>
        <sz val="9"/>
        <rFont val="Noto Sans CJK SC"/>
        <charset val="134"/>
      </rPr>
      <t>热销标签；支持年龄段</t>
    </r>
    <r>
      <rPr>
        <sz val="9"/>
        <rFont val="Arial"/>
        <charset val="134"/>
      </rPr>
      <t>/</t>
    </r>
    <r>
      <rPr>
        <sz val="9"/>
        <rFont val="Noto Sans CJK SC"/>
        <charset val="134"/>
      </rPr>
      <t>缴费期</t>
    </r>
    <r>
      <rPr>
        <sz val="9"/>
        <rFont val="Arial"/>
        <charset val="134"/>
      </rPr>
      <t>/</t>
    </r>
    <r>
      <rPr>
        <sz val="9"/>
        <rFont val="Noto Sans CJK SC"/>
        <charset val="134"/>
      </rPr>
      <t>保障额度筛选；复用</t>
    </r>
    <r>
      <rPr>
        <sz val="9"/>
        <rFont val="Arial"/>
        <charset val="134"/>
      </rPr>
      <t>C</t>
    </r>
    <r>
      <rPr>
        <sz val="9"/>
        <rFont val="Noto Sans CJK SC"/>
        <charset val="134"/>
      </rPr>
      <t>端商城非车险产品列表组件，险种字段扩展。</t>
    </r>
  </si>
  <si>
    <t>复用非车险C端产品列表；寿险特有筛选字段</t>
  </si>
  <si>
    <t>寿险产品详情(C端)</t>
  </si>
  <si>
    <t>产品详情页：保障责任Tab/费率表Tab/投保须知Tab/常见问题Tab；底部固定「免费计划」「立即投保」双按钮；收藏；查看用户评价；分享（业务员专属链接追踪归因）。</t>
  </si>
  <si>
    <t>费率表格渲染；业务员分享链接归因追踪</t>
  </si>
  <si>
    <t>寿险免费计划书(C端)</t>
  </si>
  <si>
    <t>简化版保障规划：输入年龄/性别/期望保额→展示保费试算+推荐方案；可填邮箱获取完整PDF计划书（触发AI保障规划引擎MQ异步生成）；生成后邮件+站内信通知；记录潜在客户信息给归因业务员。</t>
  </si>
  <si>
    <t>与AI保障规划模块联动；潜在客户归因</t>
  </si>
  <si>
    <t>寿险投保流程(C端)</t>
  </si>
  <si>
    <t>健康告知问卷(C端)</t>
  </si>
  <si>
    <t>寿险投保前必须完成健康告知问卷；动态问卷渲染（基于产品配置的健告问题）；是/否+条件展开追问；必须全选不可跳过；「是」答案高亮提示；提交健告后端初步智能核保（简单规则）；核保通过则进入下一步，拒保则提示原因并引导联系业务员。</t>
  </si>
  <si>
    <t>动态问卷复用AI保障规划组件；初步智能核保规则引擎</t>
  </si>
  <si>
    <t>投保人/被保人信息(C端)</t>
  </si>
  <si>
    <t>投保人信息（已认证用户自动填入）；被保人信息（可选与投保人相同或从家人管理选取）；受益人类型（法定/指定，最多3人+比例配置）；身份证扫描OCR辅助填写；未成年被保人需勾选监护人声明；职业类别选择（影响健告分类）。</t>
  </si>
  <si>
    <t>受益人多人比例配置；未成年人特殊处理</t>
  </si>
  <si>
    <t>缴费方式与保费确认(C端)</t>
  </si>
  <si>
    <t>展示缴费期限/年月缴金额/首次缴费日/到期日；缴费账户选择；期缴产品可选代扣授权（签约代扣）；勾选「我已阅读投保须知」（必选）；双录判断：若触发双录条件，跳转至合规双录流程，完成后返回继续。</t>
  </si>
  <si>
    <t>代扣授权签约对接银行/支付宝；与合规双录模块联动</t>
  </si>
  <si>
    <t>支付与核保等待(C端)</t>
  </si>
  <si>
    <t>唤起支付（复用非车险支付流程）；支付成功→提交保司核保→展示「核保中」状态页；核保结果推送通知：标准承保→保单生效；附加条件（加费/除外）→用户选择接受/拒绝；拒绝→全额退款；超时24h未核保→提醒客服。</t>
  </si>
  <si>
    <t>核保状态轮询或WebSocket推送；附加条件用户交互设计；超时退款</t>
  </si>
  <si>
    <r>
      <rPr>
        <b/>
        <sz val="10"/>
        <rFont val="Arial"/>
        <charset val="134"/>
      </rPr>
      <t>C</t>
    </r>
    <r>
      <rPr>
        <b/>
        <sz val="10"/>
        <rFont val="Noto Sans CJK SC"/>
        <charset val="134"/>
      </rPr>
      <t>端寿险保单管理</t>
    </r>
  </si>
  <si>
    <t>我的寿险保单(C端)</t>
  </si>
  <si>
    <t>「我的」页面「寿险」Tab；保单卡片：险种图标/产品名/保司/被保人/保额/缴费状态/下次缴费日；点击进入保单详情（含保障详情/缴费历史/受益人/保全记录）；操作：联系顾问/申请保全/下载保单/理赔报案；逾期缴费提醒弹窗+补缴入口。</t>
  </si>
  <si>
    <t>逾期缴费状态定时计算；补缴功能复用支付模块</t>
  </si>
  <si>
    <t>寿险续期缴费提醒(C端)</t>
  </si>
  <si>
    <t>缴费到期前30/15/7/1天推送提醒（极光推送+短信）；「我的」消息中心展示缴费待办；缴费提醒点击→进入保单详情→续费缴费（复用支付模块）；代扣签约到期需重新签约提醒；年金险/两全险到期给付提醒。</t>
  </si>
  <si>
    <t>多节点定时提醒触发；代扣签约状态管理</t>
  </si>
  <si>
    <t>寿险智能选购工具</t>
  </si>
  <si>
    <r>
      <rPr>
        <b/>
        <sz val="11"/>
        <color rgb="FF375623"/>
        <rFont val="Noto Sans CJK SC"/>
        <charset val="134"/>
      </rPr>
      <t>【新增】寿险智能需求诊断（</t>
    </r>
    <r>
      <rPr>
        <b/>
        <sz val="11"/>
        <color rgb="FF375623"/>
        <rFont val="宋体"/>
        <charset val="134"/>
      </rPr>
      <t>C</t>
    </r>
    <r>
      <rPr>
        <b/>
        <sz val="11"/>
        <color rgb="FF375623"/>
        <rFont val="Noto Sans CJK SC"/>
        <charset val="134"/>
      </rPr>
      <t>端）</t>
    </r>
  </si>
  <si>
    <r>
      <rPr>
        <sz val="11"/>
        <color theme="1"/>
        <rFont val="Noto Sans CJK SC"/>
        <charset val="134"/>
      </rPr>
      <t>用户回答</t>
    </r>
    <r>
      <rPr>
        <sz val="11"/>
        <color theme="1"/>
        <rFont val="宋体"/>
        <charset val="134"/>
      </rPr>
      <t>8</t>
    </r>
    <r>
      <rPr>
        <sz val="11"/>
        <color theme="1"/>
        <rFont val="Noto Sans CJK SC"/>
        <charset val="134"/>
      </rPr>
      <t>题需求问卷（年龄</t>
    </r>
    <r>
      <rPr>
        <sz val="11"/>
        <color theme="1"/>
        <rFont val="宋体"/>
        <charset val="134"/>
      </rPr>
      <t>/</t>
    </r>
    <r>
      <rPr>
        <sz val="11"/>
        <color theme="1"/>
        <rFont val="Noto Sans CJK SC"/>
        <charset val="134"/>
      </rPr>
      <t>家庭责任</t>
    </r>
    <r>
      <rPr>
        <sz val="11"/>
        <color theme="1"/>
        <rFont val="宋体"/>
        <charset val="134"/>
      </rPr>
      <t>/</t>
    </r>
    <r>
      <rPr>
        <sz val="11"/>
        <color theme="1"/>
        <rFont val="Noto Sans CJK SC"/>
        <charset val="134"/>
      </rPr>
      <t>财务目标</t>
    </r>
    <r>
      <rPr>
        <sz val="11"/>
        <color theme="1"/>
        <rFont val="宋体"/>
        <charset val="134"/>
      </rPr>
      <t>/</t>
    </r>
    <r>
      <rPr>
        <sz val="11"/>
        <color theme="1"/>
        <rFont val="Noto Sans CJK SC"/>
        <charset val="134"/>
      </rPr>
      <t>健康状况</t>
    </r>
    <r>
      <rPr>
        <sz val="11"/>
        <color theme="1"/>
        <rFont val="宋体"/>
        <charset val="134"/>
      </rPr>
      <t>/</t>
    </r>
    <r>
      <rPr>
        <sz val="11"/>
        <color theme="1"/>
        <rFont val="Noto Sans CJK SC"/>
        <charset val="134"/>
      </rPr>
      <t>已有保障）→</t>
    </r>
    <r>
      <rPr>
        <sz val="11"/>
        <color theme="1"/>
        <rFont val="宋体"/>
        <charset val="134"/>
      </rPr>
      <t>AI</t>
    </r>
    <r>
      <rPr>
        <sz val="11"/>
        <color theme="1"/>
        <rFont val="Noto Sans CJK SC"/>
        <charset val="134"/>
      </rPr>
      <t>引擎输出险种建议优先级（重疾</t>
    </r>
    <r>
      <rPr>
        <sz val="11"/>
        <color theme="1"/>
        <rFont val="宋体"/>
        <charset val="134"/>
      </rPr>
      <t>/</t>
    </r>
    <r>
      <rPr>
        <sz val="11"/>
        <color theme="1"/>
        <rFont val="Noto Sans CJK SC"/>
        <charset val="134"/>
      </rPr>
      <t>定寿</t>
    </r>
    <r>
      <rPr>
        <sz val="11"/>
        <color theme="1"/>
        <rFont val="宋体"/>
        <charset val="134"/>
      </rPr>
      <t>/</t>
    </r>
    <r>
      <rPr>
        <sz val="11"/>
        <color theme="1"/>
        <rFont val="Noto Sans CJK SC"/>
        <charset val="134"/>
      </rPr>
      <t>医疗</t>
    </r>
    <r>
      <rPr>
        <sz val="11"/>
        <color theme="1"/>
        <rFont val="宋体"/>
        <charset val="134"/>
      </rPr>
      <t>/</t>
    </r>
    <r>
      <rPr>
        <sz val="11"/>
        <color theme="1"/>
        <rFont val="Noto Sans CJK SC"/>
        <charset val="134"/>
      </rPr>
      <t>年金）</t>
    </r>
    <r>
      <rPr>
        <sz val="11"/>
        <color theme="1"/>
        <rFont val="宋体"/>
        <charset val="134"/>
      </rPr>
      <t>+</t>
    </r>
    <r>
      <rPr>
        <sz val="11"/>
        <color theme="1"/>
        <rFont val="Noto Sans CJK SC"/>
        <charset val="134"/>
      </rPr>
      <t>推荐产品列表；支持微信分享结果（含</t>
    </r>
    <r>
      <rPr>
        <sz val="11"/>
        <color theme="1"/>
        <rFont val="宋体"/>
        <charset val="134"/>
      </rPr>
      <t>H5</t>
    </r>
    <r>
      <rPr>
        <sz val="11"/>
        <color theme="1"/>
        <rFont val="Noto Sans CJK SC"/>
        <charset val="134"/>
      </rPr>
      <t>诊断报告）；诊断结果关联业务员归因，触发业务员</t>
    </r>
    <r>
      <rPr>
        <sz val="11"/>
        <color theme="1"/>
        <rFont val="宋体"/>
        <charset val="134"/>
      </rPr>
      <t>App</t>
    </r>
    <r>
      <rPr>
        <sz val="11"/>
        <color theme="1"/>
        <rFont val="Noto Sans CJK SC"/>
        <charset val="134"/>
      </rPr>
      <t>推送。</t>
    </r>
  </si>
  <si>
    <r>
      <rPr>
        <sz val="11"/>
        <color theme="1"/>
        <rFont val="宋体"/>
        <charset val="134"/>
      </rPr>
      <t>AI</t>
    </r>
    <r>
      <rPr>
        <sz val="11"/>
        <color theme="1"/>
        <rFont val="Noto Sans CJK SC"/>
        <charset val="134"/>
      </rPr>
      <t>需求诊断引擎；</t>
    </r>
    <r>
      <rPr>
        <sz val="11"/>
        <color theme="1"/>
        <rFont val="宋体"/>
        <charset val="134"/>
      </rPr>
      <t>H5</t>
    </r>
    <r>
      <rPr>
        <sz val="11"/>
        <color theme="1"/>
        <rFont val="Noto Sans CJK SC"/>
        <charset val="134"/>
      </rPr>
      <t>分享报告生成；业务员归因通知</t>
    </r>
  </si>
  <si>
    <r>
      <rPr>
        <b/>
        <sz val="11"/>
        <color rgb="FF375623"/>
        <rFont val="Noto Sans CJK SC"/>
        <charset val="134"/>
      </rPr>
      <t>【新增】费率表</t>
    </r>
    <r>
      <rPr>
        <b/>
        <sz val="11"/>
        <color rgb="FF375623"/>
        <rFont val="宋体"/>
        <charset val="134"/>
      </rPr>
      <t>/</t>
    </r>
    <r>
      <rPr>
        <b/>
        <sz val="11"/>
        <color rgb="FF375623"/>
        <rFont val="Noto Sans CJK SC"/>
        <charset val="134"/>
      </rPr>
      <t>保费试算（</t>
    </r>
    <r>
      <rPr>
        <b/>
        <sz val="11"/>
        <color rgb="FF375623"/>
        <rFont val="宋体"/>
        <charset val="134"/>
      </rPr>
      <t>C</t>
    </r>
    <r>
      <rPr>
        <b/>
        <sz val="11"/>
        <color rgb="FF375623"/>
        <rFont val="Noto Sans CJK SC"/>
        <charset val="134"/>
      </rPr>
      <t>端）</t>
    </r>
  </si>
  <si>
    <r>
      <rPr>
        <sz val="11"/>
        <color theme="1"/>
        <rFont val="Noto Sans CJK SC"/>
        <charset val="134"/>
      </rPr>
      <t>【</t>
    </r>
    <r>
      <rPr>
        <sz val="11"/>
        <color theme="1"/>
        <rFont val="宋体"/>
        <charset val="134"/>
      </rPr>
      <t>V14</t>
    </r>
    <r>
      <rPr>
        <sz val="11"/>
        <color theme="1"/>
        <rFont val="Noto Sans CJK SC"/>
        <charset val="134"/>
      </rPr>
      <t>架构改造】：费率表区间查询和保费计算统一调用</t>
    </r>
    <r>
      <rPr>
        <sz val="11"/>
        <color theme="1"/>
        <rFont val="宋体"/>
        <charset val="134"/>
      </rPr>
      <t>premium-calculation-service</t>
    </r>
    <r>
      <rPr>
        <sz val="11"/>
        <color theme="1"/>
        <rFont val="Noto Sans CJK SC"/>
        <charset val="134"/>
      </rPr>
      <t>（</t>
    </r>
    <r>
      <rPr>
        <sz val="11"/>
        <color theme="1"/>
        <rFont val="宋体"/>
        <charset val="134"/>
      </rPr>
      <t>insuranceType=LIFE</t>
    </r>
    <r>
      <rPr>
        <sz val="11"/>
        <color theme="1"/>
        <rFont val="Noto Sans CJK SC"/>
        <charset val="134"/>
      </rPr>
      <t>）；废弃原</t>
    </r>
    <r>
      <rPr>
        <sz val="11"/>
        <color theme="1"/>
        <rFont val="宋体"/>
        <charset val="134"/>
      </rPr>
      <t>"</t>
    </r>
    <r>
      <rPr>
        <sz val="11"/>
        <color theme="1"/>
        <rFont val="Noto Sans CJK SC"/>
        <charset val="134"/>
      </rPr>
      <t>前端实时计算</t>
    </r>
    <r>
      <rPr>
        <sz val="11"/>
        <color theme="1"/>
        <rFont val="宋体"/>
        <charset val="134"/>
      </rPr>
      <t>"</t>
    </r>
    <r>
      <rPr>
        <sz val="11"/>
        <color theme="1"/>
        <rFont val="Noto Sans CJK SC"/>
        <charset val="134"/>
      </rPr>
      <t>方案，改为调用统一接口保证前后端计算结果一致；接口响应</t>
    </r>
    <r>
      <rPr>
        <sz val="11"/>
        <color theme="1"/>
        <rFont val="宋体"/>
        <charset val="134"/>
      </rPr>
      <t>&lt;100ms</t>
    </r>
    <r>
      <rPr>
        <sz val="11"/>
        <color theme="1"/>
        <rFont val="Noto Sans CJK SC"/>
        <charset val="134"/>
      </rPr>
      <t>满足实时展示需求；多方案对比时批量调用</t>
    </r>
    <r>
      <rPr>
        <sz val="11"/>
        <color theme="1"/>
        <rFont val="宋体"/>
        <charset val="134"/>
      </rPr>
      <t>/calc/batch</t>
    </r>
    <r>
      <rPr>
        <sz val="11"/>
        <color theme="1"/>
        <rFont val="Noto Sans CJK SC"/>
        <charset val="134"/>
      </rPr>
      <t>接口。原描述：用户在产品详情页选择被保人年龄</t>
    </r>
    <r>
      <rPr>
        <sz val="11"/>
        <color theme="1"/>
        <rFont val="宋体"/>
        <charset val="134"/>
      </rPr>
      <t>/</t>
    </r>
    <r>
      <rPr>
        <sz val="11"/>
        <color theme="1"/>
        <rFont val="Noto Sans CJK SC"/>
        <charset val="134"/>
      </rPr>
      <t>性别</t>
    </r>
    <r>
      <rPr>
        <sz val="11"/>
        <color theme="1"/>
        <rFont val="宋体"/>
        <charset val="134"/>
      </rPr>
      <t>/</t>
    </r>
    <r>
      <rPr>
        <sz val="11"/>
        <color theme="1"/>
        <rFont val="Noto Sans CJK SC"/>
        <charset val="134"/>
      </rPr>
      <t>保额</t>
    </r>
    <r>
      <rPr>
        <sz val="11"/>
        <color theme="1"/>
        <rFont val="宋体"/>
        <charset val="134"/>
      </rPr>
      <t>/</t>
    </r>
    <r>
      <rPr>
        <sz val="11"/>
        <color theme="1"/>
        <rFont val="Noto Sans CJK SC"/>
        <charset val="134"/>
      </rPr>
      <t>缴费期→实时查询费率表（</t>
    </r>
    <r>
      <rPr>
        <sz val="11"/>
        <color theme="1"/>
        <rFont val="宋体"/>
        <charset val="134"/>
      </rPr>
      <t>rate_table</t>
    </r>
    <r>
      <rPr>
        <sz val="11"/>
        <color theme="1"/>
        <rFont val="Noto Sans CJK SC"/>
        <charset val="134"/>
      </rPr>
      <t>按产品</t>
    </r>
    <r>
      <rPr>
        <sz val="11"/>
        <color theme="1"/>
        <rFont val="宋体"/>
        <charset val="134"/>
      </rPr>
      <t>ID+</t>
    </r>
    <r>
      <rPr>
        <sz val="11"/>
        <color theme="1"/>
        <rFont val="Noto Sans CJK SC"/>
        <charset val="134"/>
      </rPr>
      <t>条件区间取费率）→展示年缴</t>
    </r>
    <r>
      <rPr>
        <sz val="11"/>
        <color theme="1"/>
        <rFont val="宋体"/>
        <charset val="134"/>
      </rPr>
      <t>/</t>
    </r>
    <r>
      <rPr>
        <sz val="11"/>
        <color theme="1"/>
        <rFont val="Noto Sans CJK SC"/>
        <charset val="134"/>
      </rPr>
      <t>月缴保费；支持多方案对比（最多</t>
    </r>
    <r>
      <rPr>
        <sz val="11"/>
        <color theme="1"/>
        <rFont val="宋体"/>
        <charset val="134"/>
      </rPr>
      <t>3</t>
    </r>
    <r>
      <rPr>
        <sz val="11"/>
        <color theme="1"/>
        <rFont val="Noto Sans CJK SC"/>
        <charset val="134"/>
      </rPr>
      <t>组参数同时试算）；费率表由后台运营维护；计算结果实时响应（纯前端公式</t>
    </r>
    <r>
      <rPr>
        <sz val="11"/>
        <color theme="1"/>
        <rFont val="宋体"/>
        <charset val="134"/>
      </rPr>
      <t>×</t>
    </r>
    <r>
      <rPr>
        <sz val="11"/>
        <color theme="1"/>
        <rFont val="Noto Sans CJK SC"/>
        <charset val="134"/>
      </rPr>
      <t>费率系数）。</t>
    </r>
  </si>
  <si>
    <r>
      <rPr>
        <sz val="11"/>
        <color theme="1"/>
        <rFont val="Noto Sans CJK SC"/>
        <charset val="134"/>
      </rPr>
      <t>费率表区间查询</t>
    </r>
    <r>
      <rPr>
        <sz val="11"/>
        <color theme="1"/>
        <rFont val="宋体"/>
        <charset val="134"/>
      </rPr>
      <t>SQL</t>
    </r>
    <r>
      <rPr>
        <sz val="11"/>
        <color theme="1"/>
        <rFont val="Noto Sans CJK SC"/>
        <charset val="134"/>
      </rPr>
      <t>；多方案同时展示；前端实时计算</t>
    </r>
  </si>
  <si>
    <r>
      <rPr>
        <b/>
        <sz val="11"/>
        <color rgb="FF375623"/>
        <rFont val="Noto Sans CJK SC"/>
        <charset val="134"/>
      </rPr>
      <t>【新增】产品横向对比（</t>
    </r>
    <r>
      <rPr>
        <b/>
        <sz val="11"/>
        <color rgb="FF375623"/>
        <rFont val="宋体"/>
        <charset val="134"/>
      </rPr>
      <t>C</t>
    </r>
    <r>
      <rPr>
        <b/>
        <sz val="11"/>
        <color rgb="FF375623"/>
        <rFont val="Noto Sans CJK SC"/>
        <charset val="134"/>
      </rPr>
      <t>端寿险）</t>
    </r>
  </si>
  <si>
    <r>
      <rPr>
        <sz val="11"/>
        <color theme="1"/>
        <rFont val="Noto Sans CJK SC"/>
        <charset val="134"/>
      </rPr>
      <t>最多</t>
    </r>
    <r>
      <rPr>
        <sz val="11"/>
        <color theme="1"/>
        <rFont val="宋体"/>
        <charset val="134"/>
      </rPr>
      <t>3</t>
    </r>
    <r>
      <rPr>
        <sz val="11"/>
        <color theme="1"/>
        <rFont val="Noto Sans CJK SC"/>
        <charset val="134"/>
      </rPr>
      <t>款寿险产品对比：保障期限</t>
    </r>
    <r>
      <rPr>
        <sz val="11"/>
        <color theme="1"/>
        <rFont val="宋体"/>
        <charset val="134"/>
      </rPr>
      <t>/</t>
    </r>
    <r>
      <rPr>
        <sz val="11"/>
        <color theme="1"/>
        <rFont val="Noto Sans CJK SC"/>
        <charset val="134"/>
      </rPr>
      <t>缴费期</t>
    </r>
    <r>
      <rPr>
        <sz val="11"/>
        <color theme="1"/>
        <rFont val="宋体"/>
        <charset val="134"/>
      </rPr>
      <t>/</t>
    </r>
    <r>
      <rPr>
        <sz val="11"/>
        <color theme="1"/>
        <rFont val="Noto Sans CJK SC"/>
        <charset val="134"/>
      </rPr>
      <t>保额</t>
    </r>
    <r>
      <rPr>
        <sz val="11"/>
        <color theme="1"/>
        <rFont val="宋体"/>
        <charset val="134"/>
      </rPr>
      <t>/</t>
    </r>
    <r>
      <rPr>
        <sz val="11"/>
        <color theme="1"/>
        <rFont val="Noto Sans CJK SC"/>
        <charset val="134"/>
      </rPr>
      <t>重疾种数</t>
    </r>
    <r>
      <rPr>
        <sz val="11"/>
        <color theme="1"/>
        <rFont val="宋体"/>
        <charset val="134"/>
      </rPr>
      <t>/</t>
    </r>
    <r>
      <rPr>
        <sz val="11"/>
        <color theme="1"/>
        <rFont val="Noto Sans CJK SC"/>
        <charset val="134"/>
      </rPr>
      <t>保费</t>
    </r>
    <r>
      <rPr>
        <sz val="11"/>
        <color theme="1"/>
        <rFont val="宋体"/>
        <charset val="134"/>
      </rPr>
      <t>/</t>
    </r>
    <r>
      <rPr>
        <sz val="11"/>
        <color theme="1"/>
        <rFont val="Noto Sans CJK SC"/>
        <charset val="134"/>
      </rPr>
      <t>轻症责任</t>
    </r>
    <r>
      <rPr>
        <sz val="11"/>
        <color theme="1"/>
        <rFont val="宋体"/>
        <charset val="134"/>
      </rPr>
      <t>/</t>
    </r>
    <r>
      <rPr>
        <sz val="11"/>
        <color theme="1"/>
        <rFont val="Noto Sans CJK SC"/>
        <charset val="134"/>
      </rPr>
      <t>医疗责任</t>
    </r>
    <r>
      <rPr>
        <sz val="11"/>
        <color theme="1"/>
        <rFont val="宋体"/>
        <charset val="134"/>
      </rPr>
      <t>/</t>
    </r>
    <r>
      <rPr>
        <sz val="11"/>
        <color theme="1"/>
        <rFont val="Noto Sans CJK SC"/>
        <charset val="134"/>
      </rPr>
      <t>免责条款；差异项高亮；底部「立即投保」按钮直达对应产品投保流程；用户勾选收藏对比组合可下次直接调出。</t>
    </r>
  </si>
  <si>
    <t>对比维度配置化；差异高亮算法；收藏对比组合</t>
  </si>
  <si>
    <t>投保辅助功能</t>
  </si>
  <si>
    <t>【新增】投保资格预检（智能核保预筛）</t>
  </si>
  <si>
    <r>
      <rPr>
        <sz val="11"/>
        <color theme="1"/>
        <rFont val="Noto Sans CJK SC"/>
        <charset val="134"/>
      </rPr>
      <t>在健康告知问卷之前增加「快速资格预检」（</t>
    </r>
    <r>
      <rPr>
        <sz val="11"/>
        <color theme="1"/>
        <rFont val="宋体"/>
        <charset val="134"/>
      </rPr>
      <t>3-5</t>
    </r>
    <r>
      <rPr>
        <sz val="11"/>
        <color theme="1"/>
        <rFont val="Noto Sans CJK SC"/>
        <charset val="134"/>
      </rPr>
      <t>个核心问题：年龄范围</t>
    </r>
    <r>
      <rPr>
        <sz val="11"/>
        <color theme="1"/>
        <rFont val="宋体"/>
        <charset val="134"/>
      </rPr>
      <t>/</t>
    </r>
    <r>
      <rPr>
        <sz val="11"/>
        <color theme="1"/>
        <rFont val="Noto Sans CJK SC"/>
        <charset val="134"/>
      </rPr>
      <t>严重疾病史</t>
    </r>
    <r>
      <rPr>
        <sz val="11"/>
        <color theme="1"/>
        <rFont val="宋体"/>
        <charset val="134"/>
      </rPr>
      <t>/</t>
    </r>
    <r>
      <rPr>
        <sz val="11"/>
        <color theme="1"/>
        <rFont val="Noto Sans CJK SC"/>
        <charset val="134"/>
      </rPr>
      <t>近期住院手术）；全部通过则提示「您可能符合标准投保条件」并引导填写完整健告；任一不通过则提示「建议联系顾问了解智能核保」；降低用户完整填写健告后被拒的挫败感。</t>
    </r>
  </si>
  <si>
    <t>核心预检规则独立于完整健告；结果引导逻辑</t>
  </si>
  <si>
    <r>
      <rPr>
        <b/>
        <sz val="11"/>
        <color rgb="FF375623"/>
        <rFont val="Noto Sans CJK SC"/>
        <charset val="134"/>
      </rPr>
      <t>【新增】条款</t>
    </r>
    <r>
      <rPr>
        <b/>
        <sz val="11"/>
        <color rgb="FF375623"/>
        <rFont val="宋体"/>
        <charset val="134"/>
      </rPr>
      <t>AI</t>
    </r>
    <r>
      <rPr>
        <b/>
        <sz val="11"/>
        <color rgb="FF375623"/>
        <rFont val="Noto Sans CJK SC"/>
        <charset val="134"/>
      </rPr>
      <t>智能解读（</t>
    </r>
    <r>
      <rPr>
        <b/>
        <sz val="11"/>
        <color rgb="FF375623"/>
        <rFont val="宋体"/>
        <charset val="134"/>
      </rPr>
      <t>C</t>
    </r>
    <r>
      <rPr>
        <b/>
        <sz val="11"/>
        <color rgb="FF375623"/>
        <rFont val="Noto Sans CJK SC"/>
        <charset val="134"/>
      </rPr>
      <t>端）</t>
    </r>
  </si>
  <si>
    <r>
      <rPr>
        <sz val="11"/>
        <color theme="1"/>
        <rFont val="Noto Sans CJK SC"/>
        <charset val="134"/>
      </rPr>
      <t>产品详情页「条款解读」</t>
    </r>
    <r>
      <rPr>
        <sz val="11"/>
        <color theme="1"/>
        <rFont val="宋体"/>
        <charset val="134"/>
      </rPr>
      <t>Tab</t>
    </r>
    <r>
      <rPr>
        <sz val="11"/>
        <color theme="1"/>
        <rFont val="Noto Sans CJK SC"/>
        <charset val="134"/>
      </rPr>
      <t>：用户输入问题（如「什么情况不赔？」「等待期多长？」）→</t>
    </r>
    <r>
      <rPr>
        <sz val="11"/>
        <color theme="1"/>
        <rFont val="宋体"/>
        <charset val="134"/>
      </rPr>
      <t>RAG</t>
    </r>
    <r>
      <rPr>
        <sz val="11"/>
        <color theme="1"/>
        <rFont val="Noto Sans CJK SC"/>
        <charset val="134"/>
      </rPr>
      <t>检索该产品条款</t>
    </r>
    <r>
      <rPr>
        <sz val="11"/>
        <color theme="1"/>
        <rFont val="宋体"/>
        <charset val="134"/>
      </rPr>
      <t>PDF</t>
    </r>
    <r>
      <rPr>
        <sz val="11"/>
        <color theme="1"/>
        <rFont val="Noto Sans CJK SC"/>
        <charset val="134"/>
      </rPr>
      <t>关键段落→</t>
    </r>
    <r>
      <rPr>
        <sz val="11"/>
        <color theme="1"/>
        <rFont val="宋体"/>
        <charset val="134"/>
      </rPr>
      <t>AI</t>
    </r>
    <r>
      <rPr>
        <sz val="11"/>
        <color theme="1"/>
        <rFont val="Noto Sans CJK SC"/>
        <charset val="134"/>
      </rPr>
      <t>生成简明回答（</t>
    </r>
    <r>
      <rPr>
        <sz val="11"/>
        <color theme="1"/>
        <rFont val="宋体"/>
        <charset val="134"/>
      </rPr>
      <t>200</t>
    </r>
    <r>
      <rPr>
        <sz val="11"/>
        <color theme="1"/>
        <rFont val="Noto Sans CJK SC"/>
        <charset val="134"/>
      </rPr>
      <t>字以内）</t>
    </r>
    <r>
      <rPr>
        <sz val="11"/>
        <color theme="1"/>
        <rFont val="宋体"/>
        <charset val="134"/>
      </rPr>
      <t>+</t>
    </r>
    <r>
      <rPr>
        <sz val="11"/>
        <color theme="1"/>
        <rFont val="Noto Sans CJK SC"/>
        <charset val="134"/>
      </rPr>
      <t>引用原文段落高亮；每日调用限制（每用户</t>
    </r>
    <r>
      <rPr>
        <sz val="11"/>
        <color theme="1"/>
        <rFont val="宋体"/>
        <charset val="134"/>
      </rPr>
      <t>10</t>
    </r>
    <r>
      <rPr>
        <sz val="11"/>
        <color theme="1"/>
        <rFont val="Noto Sans CJK SC"/>
        <charset val="134"/>
      </rPr>
      <t>次</t>
    </r>
    <r>
      <rPr>
        <sz val="11"/>
        <color theme="1"/>
        <rFont val="宋体"/>
        <charset val="134"/>
      </rPr>
      <t>/</t>
    </r>
    <r>
      <rPr>
        <sz val="11"/>
        <color theme="1"/>
        <rFont val="Noto Sans CJK SC"/>
        <charset val="134"/>
      </rPr>
      <t>天）；非投保承诺，回答末尾加注「以实际条款为准」。</t>
    </r>
  </si>
  <si>
    <r>
      <rPr>
        <sz val="11"/>
        <color theme="1"/>
        <rFont val="宋体"/>
        <charset val="134"/>
      </rPr>
      <t>RAG</t>
    </r>
    <r>
      <rPr>
        <sz val="11"/>
        <color theme="1"/>
        <rFont val="Noto Sans CJK SC"/>
        <charset val="134"/>
      </rPr>
      <t>条款检索；</t>
    </r>
    <r>
      <rPr>
        <sz val="11"/>
        <color theme="1"/>
        <rFont val="宋体"/>
        <charset val="134"/>
      </rPr>
      <t>AI</t>
    </r>
    <r>
      <rPr>
        <sz val="11"/>
        <color theme="1"/>
        <rFont val="Noto Sans CJK SC"/>
        <charset val="134"/>
      </rPr>
      <t>摘要生成；调用频率限制</t>
    </r>
    <r>
      <rPr>
        <sz val="11"/>
        <color theme="1"/>
        <rFont val="宋体"/>
        <charset val="134"/>
      </rPr>
      <t>Redis</t>
    </r>
  </si>
  <si>
    <r>
      <rPr>
        <b/>
        <sz val="11"/>
        <color rgb="FF375623"/>
        <rFont val="Noto Sans CJK SC"/>
        <charset val="134"/>
      </rPr>
      <t>【新增】投保进度追踪（</t>
    </r>
    <r>
      <rPr>
        <b/>
        <sz val="11"/>
        <color rgb="FF375623"/>
        <rFont val="宋体"/>
        <charset val="134"/>
      </rPr>
      <t>C</t>
    </r>
    <r>
      <rPr>
        <b/>
        <sz val="11"/>
        <color rgb="FF375623"/>
        <rFont val="Noto Sans CJK SC"/>
        <charset val="134"/>
      </rPr>
      <t>端）</t>
    </r>
  </si>
  <si>
    <r>
      <rPr>
        <sz val="11"/>
        <color theme="1"/>
        <rFont val="Noto Sans CJK SC"/>
        <charset val="134"/>
      </rPr>
      <t>用户提交投保申请后，消息中心</t>
    </r>
    <r>
      <rPr>
        <sz val="11"/>
        <color theme="1"/>
        <rFont val="宋体"/>
        <charset val="134"/>
      </rPr>
      <t>+</t>
    </r>
    <r>
      <rPr>
        <sz val="11"/>
        <color theme="1"/>
        <rFont val="Noto Sans CJK SC"/>
        <charset val="134"/>
      </rPr>
      <t>保单详情页展示实时投保进度时间轴：①已支付→②资料审核→③核保中→④已承保</t>
    </r>
    <r>
      <rPr>
        <sz val="11"/>
        <color theme="1"/>
        <rFont val="宋体"/>
        <charset val="134"/>
      </rPr>
      <t>/</t>
    </r>
    <r>
      <rPr>
        <sz val="11"/>
        <color theme="1"/>
        <rFont val="Noto Sans CJK SC"/>
        <charset val="134"/>
      </rPr>
      <t>核保拒绝</t>
    </r>
    <r>
      <rPr>
        <sz val="11"/>
        <color theme="1"/>
        <rFont val="宋体"/>
        <charset val="134"/>
      </rPr>
      <t>/</t>
    </r>
    <r>
      <rPr>
        <sz val="11"/>
        <color theme="1"/>
        <rFont val="Noto Sans CJK SC"/>
        <charset val="134"/>
      </rPr>
      <t>附条件承保；每步到达发推送通知；附条件承保（加费</t>
    </r>
    <r>
      <rPr>
        <sz val="11"/>
        <color theme="1"/>
        <rFont val="宋体"/>
        <charset val="134"/>
      </rPr>
      <t>/</t>
    </r>
    <r>
      <rPr>
        <sz val="11"/>
        <color theme="1"/>
        <rFont val="Noto Sans CJK SC"/>
        <charset val="134"/>
      </rPr>
      <t>除外）需用户在</t>
    </r>
    <r>
      <rPr>
        <sz val="11"/>
        <color theme="1"/>
        <rFont val="宋体"/>
        <charset val="134"/>
      </rPr>
      <t>App</t>
    </r>
    <r>
      <rPr>
        <sz val="11"/>
        <color theme="1"/>
        <rFont val="Noto Sans CJK SC"/>
        <charset val="134"/>
      </rPr>
      <t>内确认接受</t>
    </r>
    <r>
      <rPr>
        <sz val="11"/>
        <color theme="1"/>
        <rFont val="宋体"/>
        <charset val="134"/>
      </rPr>
      <t>/</t>
    </r>
    <r>
      <rPr>
        <sz val="11"/>
        <color theme="1"/>
        <rFont val="Noto Sans CJK SC"/>
        <charset val="134"/>
      </rPr>
      <t>拒绝（限时</t>
    </r>
    <r>
      <rPr>
        <sz val="11"/>
        <color theme="1"/>
        <rFont val="宋体"/>
        <charset val="134"/>
      </rPr>
      <t>72</t>
    </r>
    <r>
      <rPr>
        <sz val="11"/>
        <color theme="1"/>
        <rFont val="Noto Sans CJK SC"/>
        <charset val="134"/>
      </rPr>
      <t>小时，超时自动退款）；可在详情页补传材料。</t>
    </r>
  </si>
  <si>
    <t>投保进度时间轴组件；附条件交互设计；超时自动退款</t>
  </si>
  <si>
    <r>
      <rPr>
        <b/>
        <sz val="11"/>
        <color rgb="FF375623"/>
        <rFont val="Noto Sans CJK SC"/>
        <charset val="134"/>
      </rPr>
      <t>【新增】指定顾问</t>
    </r>
    <r>
      <rPr>
        <b/>
        <sz val="11"/>
        <color rgb="FF375623"/>
        <rFont val="宋体"/>
        <charset val="134"/>
      </rPr>
      <t>/</t>
    </r>
    <r>
      <rPr>
        <b/>
        <sz val="11"/>
        <color rgb="FF375623"/>
        <rFont val="Noto Sans CJK SC"/>
        <charset val="134"/>
      </rPr>
      <t>转介业务员（</t>
    </r>
    <r>
      <rPr>
        <b/>
        <sz val="11"/>
        <color rgb="FF375623"/>
        <rFont val="宋体"/>
        <charset val="134"/>
      </rPr>
      <t>C</t>
    </r>
    <r>
      <rPr>
        <b/>
        <sz val="11"/>
        <color rgb="FF375623"/>
        <rFont val="Noto Sans CJK SC"/>
        <charset val="134"/>
      </rPr>
      <t>端）</t>
    </r>
  </si>
  <si>
    <r>
      <rPr>
        <sz val="11"/>
        <color theme="1"/>
        <rFont val="宋体"/>
        <charset val="134"/>
      </rPr>
      <t>C</t>
    </r>
    <r>
      <rPr>
        <sz val="11"/>
        <color theme="1"/>
        <rFont val="Noto Sans CJK SC"/>
        <charset val="134"/>
      </rPr>
      <t>端用户投保时可搜索</t>
    </r>
    <r>
      <rPr>
        <sz val="11"/>
        <color theme="1"/>
        <rFont val="宋体"/>
        <charset val="134"/>
      </rPr>
      <t>/</t>
    </r>
    <r>
      <rPr>
        <sz val="11"/>
        <color theme="1"/>
        <rFont val="Noto Sans CJK SC"/>
        <charset val="134"/>
      </rPr>
      <t>扫码绑定业务员（输入业务员手机号</t>
    </r>
    <r>
      <rPr>
        <sz val="11"/>
        <color theme="1"/>
        <rFont val="宋体"/>
        <charset val="134"/>
      </rPr>
      <t>/</t>
    </r>
    <r>
      <rPr>
        <sz val="11"/>
        <color theme="1"/>
        <rFont val="Noto Sans CJK SC"/>
        <charset val="134"/>
      </rPr>
      <t>工号或扫业务员专属二维码）；绑定后本次及后续保单均归因该业务员；业务员</t>
    </r>
    <r>
      <rPr>
        <sz val="11"/>
        <color theme="1"/>
        <rFont val="宋体"/>
        <charset val="134"/>
      </rPr>
      <t>App</t>
    </r>
    <r>
      <rPr>
        <sz val="11"/>
        <color theme="1"/>
        <rFont val="Noto Sans CJK SC"/>
        <charset val="134"/>
      </rPr>
      <t>收到客户绑定通知；用户可在个人中心查看</t>
    </r>
    <r>
      <rPr>
        <sz val="11"/>
        <color theme="1"/>
        <rFont val="宋体"/>
        <charset val="134"/>
      </rPr>
      <t>/</t>
    </r>
    <r>
      <rPr>
        <sz val="11"/>
        <color theme="1"/>
        <rFont val="Noto Sans CJK SC"/>
        <charset val="134"/>
      </rPr>
      <t>更换绑定顾问（</t>
    </r>
    <r>
      <rPr>
        <sz val="11"/>
        <color theme="1"/>
        <rFont val="宋体"/>
        <charset val="134"/>
      </rPr>
      <t>30</t>
    </r>
    <r>
      <rPr>
        <sz val="11"/>
        <color theme="1"/>
        <rFont val="Noto Sans CJK SC"/>
        <charset val="134"/>
      </rPr>
      <t>天内不可重复更换）。</t>
    </r>
  </si>
  <si>
    <r>
      <rPr>
        <sz val="11"/>
        <color theme="1"/>
        <rFont val="Noto Sans CJK SC"/>
        <charset val="134"/>
      </rPr>
      <t>业务员归因绑定；二维码扫码识别；更换频率限制</t>
    </r>
    <r>
      <rPr>
        <sz val="11"/>
        <color theme="1"/>
        <rFont val="宋体"/>
        <charset val="134"/>
      </rPr>
      <t>Redis</t>
    </r>
  </si>
  <si>
    <r>
      <rPr>
        <b/>
        <sz val="10"/>
        <rFont val="Noto Sans CJK SC"/>
        <charset val="134"/>
      </rPr>
      <t>寿险保后服务（</t>
    </r>
    <r>
      <rPr>
        <b/>
        <sz val="10"/>
        <rFont val="Arial"/>
        <charset val="134"/>
      </rPr>
      <t>C</t>
    </r>
    <r>
      <rPr>
        <b/>
        <sz val="10"/>
        <rFont val="Noto Sans CJK SC"/>
        <charset val="134"/>
      </rPr>
      <t>端）</t>
    </r>
  </si>
  <si>
    <r>
      <rPr>
        <b/>
        <sz val="11"/>
        <color rgb="FF375623"/>
        <rFont val="Noto Sans CJK SC"/>
        <charset val="134"/>
      </rPr>
      <t>【新增】保单年检提醒与回顾（</t>
    </r>
    <r>
      <rPr>
        <b/>
        <sz val="11"/>
        <color rgb="FF375623"/>
        <rFont val="宋体"/>
        <charset val="134"/>
      </rPr>
      <t>C</t>
    </r>
    <r>
      <rPr>
        <b/>
        <sz val="11"/>
        <color rgb="FF375623"/>
        <rFont val="Noto Sans CJK SC"/>
        <charset val="134"/>
      </rPr>
      <t>端）</t>
    </r>
  </si>
  <si>
    <r>
      <rPr>
        <sz val="11"/>
        <color theme="1"/>
        <rFont val="Noto Sans CJK SC"/>
        <charset val="134"/>
      </rPr>
      <t>每年保单生效周年日前</t>
    </r>
    <r>
      <rPr>
        <sz val="11"/>
        <color theme="1"/>
        <rFont val="宋体"/>
        <charset val="134"/>
      </rPr>
      <t>15</t>
    </r>
    <r>
      <rPr>
        <sz val="11"/>
        <color theme="1"/>
        <rFont val="Noto Sans CJK SC"/>
        <charset val="134"/>
      </rPr>
      <t>天推送「年度保单回顾」通知；用户点击查看保单一年来变化（缴费记录</t>
    </r>
    <r>
      <rPr>
        <sz val="11"/>
        <color theme="1"/>
        <rFont val="宋体"/>
        <charset val="134"/>
      </rPr>
      <t>/</t>
    </r>
    <r>
      <rPr>
        <sz val="11"/>
        <color theme="1"/>
        <rFont val="Noto Sans CJK SC"/>
        <charset val="134"/>
      </rPr>
      <t>现金价值增长</t>
    </r>
    <r>
      <rPr>
        <sz val="11"/>
        <color theme="1"/>
        <rFont val="宋体"/>
        <charset val="134"/>
      </rPr>
      <t>/</t>
    </r>
    <r>
      <rPr>
        <sz val="11"/>
        <color theme="1"/>
        <rFont val="Noto Sans CJK SC"/>
        <charset val="134"/>
      </rPr>
      <t>保障变化）；系统自动生成「年度保障报告」（</t>
    </r>
    <r>
      <rPr>
        <sz val="11"/>
        <color theme="1"/>
        <rFont val="宋体"/>
        <charset val="134"/>
      </rPr>
      <t>PDF</t>
    </r>
    <r>
      <rPr>
        <sz val="11"/>
        <color theme="1"/>
        <rFont val="Noto Sans CJK SC"/>
        <charset val="134"/>
      </rPr>
      <t>或</t>
    </r>
    <r>
      <rPr>
        <sz val="11"/>
        <color theme="1"/>
        <rFont val="宋体"/>
        <charset val="134"/>
      </rPr>
      <t>H5</t>
    </r>
    <r>
      <rPr>
        <sz val="11"/>
        <color theme="1"/>
        <rFont val="Noto Sans CJK SC"/>
        <charset val="134"/>
      </rPr>
      <t>卡片）；引导用户评估是否需要增额</t>
    </r>
    <r>
      <rPr>
        <sz val="11"/>
        <color theme="1"/>
        <rFont val="宋体"/>
        <charset val="134"/>
      </rPr>
      <t>/</t>
    </r>
    <r>
      <rPr>
        <sz val="11"/>
        <color theme="1"/>
        <rFont val="Noto Sans CJK SC"/>
        <charset val="134"/>
      </rPr>
      <t>减额（跳转保全申请）。</t>
    </r>
  </si>
  <si>
    <r>
      <rPr>
        <sz val="11"/>
        <color theme="1"/>
        <rFont val="Noto Sans CJK SC"/>
        <charset val="134"/>
      </rPr>
      <t>年度报告</t>
    </r>
    <r>
      <rPr>
        <sz val="11"/>
        <color theme="1"/>
        <rFont val="宋体"/>
        <charset val="134"/>
      </rPr>
      <t>H5/PDF</t>
    </r>
    <r>
      <rPr>
        <sz val="11"/>
        <color theme="1"/>
        <rFont val="Noto Sans CJK SC"/>
        <charset val="134"/>
      </rPr>
      <t>生成；现金价值历史数据展示</t>
    </r>
  </si>
  <si>
    <r>
      <rPr>
        <b/>
        <sz val="11"/>
        <color rgb="FF375623"/>
        <rFont val="Noto Sans CJK SC"/>
        <charset val="134"/>
      </rPr>
      <t>【新增】重疾绿通（就医协助）服务入口（</t>
    </r>
    <r>
      <rPr>
        <b/>
        <sz val="11"/>
        <color rgb="FF375623"/>
        <rFont val="宋体"/>
        <charset val="134"/>
      </rPr>
      <t>C</t>
    </r>
    <r>
      <rPr>
        <b/>
        <sz val="11"/>
        <color rgb="FF375623"/>
        <rFont val="Noto Sans CJK SC"/>
        <charset val="134"/>
      </rPr>
      <t>端）</t>
    </r>
  </si>
  <si>
    <r>
      <rPr>
        <sz val="11"/>
        <color theme="1"/>
        <rFont val="Noto Sans CJK SC"/>
        <charset val="134"/>
      </rPr>
      <t>购买含重疾绿通权益的产品用户，在保单详情展示「就医协助」入口；功能：预约挂号（对接第三方医疗服务</t>
    </r>
    <r>
      <rPr>
        <sz val="11"/>
        <color theme="1"/>
        <rFont val="宋体"/>
        <charset val="134"/>
      </rPr>
      <t>API</t>
    </r>
    <r>
      <rPr>
        <sz val="11"/>
        <color theme="1"/>
        <rFont val="Noto Sans CJK SC"/>
        <charset val="134"/>
      </rPr>
      <t>）</t>
    </r>
    <r>
      <rPr>
        <sz val="11"/>
        <color theme="1"/>
        <rFont val="宋体"/>
        <charset val="134"/>
      </rPr>
      <t>/</t>
    </r>
    <r>
      <rPr>
        <sz val="11"/>
        <color theme="1"/>
        <rFont val="Noto Sans CJK SC"/>
        <charset val="134"/>
      </rPr>
      <t>专家会诊申请（在线填表）</t>
    </r>
    <r>
      <rPr>
        <sz val="11"/>
        <color theme="1"/>
        <rFont val="宋体"/>
        <charset val="134"/>
      </rPr>
      <t>/</t>
    </r>
    <r>
      <rPr>
        <sz val="11"/>
        <color theme="1"/>
        <rFont val="Noto Sans CJK SC"/>
        <charset val="134"/>
      </rPr>
      <t>住院协助联系（一键呼叫客服）；非自建，对接第三方健康管理服务商</t>
    </r>
    <r>
      <rPr>
        <sz val="11"/>
        <color theme="1"/>
        <rFont val="宋体"/>
        <charset val="134"/>
      </rPr>
      <t>API</t>
    </r>
    <r>
      <rPr>
        <sz val="11"/>
        <color theme="1"/>
        <rFont val="Noto Sans CJK SC"/>
        <charset val="134"/>
      </rPr>
      <t>；无权益用户展示购买引导。</t>
    </r>
  </si>
  <si>
    <r>
      <rPr>
        <sz val="11"/>
        <color theme="1"/>
        <rFont val="Noto Sans CJK SC"/>
        <charset val="134"/>
      </rPr>
      <t>第三方医疗服务</t>
    </r>
    <r>
      <rPr>
        <sz val="11"/>
        <color theme="1"/>
        <rFont val="宋体"/>
        <charset val="134"/>
      </rPr>
      <t>API</t>
    </r>
    <r>
      <rPr>
        <sz val="11"/>
        <color theme="1"/>
        <rFont val="Noto Sans CJK SC"/>
        <charset val="134"/>
      </rPr>
      <t>对接；权益资格校验；服务商</t>
    </r>
    <r>
      <rPr>
        <sz val="11"/>
        <color theme="1"/>
        <rFont val="宋体"/>
        <charset val="134"/>
      </rPr>
      <t>SLA</t>
    </r>
  </si>
  <si>
    <r>
      <rPr>
        <b/>
        <sz val="11"/>
        <color rgb="FF375623"/>
        <rFont val="Noto Sans CJK SC"/>
        <charset val="134"/>
      </rPr>
      <t>【新增】保单贷款预估（</t>
    </r>
    <r>
      <rPr>
        <b/>
        <sz val="11"/>
        <color rgb="FF375623"/>
        <rFont val="宋体"/>
        <charset val="134"/>
      </rPr>
      <t>C</t>
    </r>
    <r>
      <rPr>
        <b/>
        <sz val="11"/>
        <color rgb="FF375623"/>
        <rFont val="Noto Sans CJK SC"/>
        <charset val="134"/>
      </rPr>
      <t>端）</t>
    </r>
  </si>
  <si>
    <r>
      <rPr>
        <sz val="11"/>
        <color theme="1"/>
        <rFont val="Noto Sans CJK SC"/>
        <charset val="134"/>
      </rPr>
      <t>储蓄险</t>
    </r>
    <r>
      <rPr>
        <sz val="11"/>
        <color theme="1"/>
        <rFont val="宋体"/>
        <charset val="134"/>
      </rPr>
      <t>/</t>
    </r>
    <r>
      <rPr>
        <sz val="11"/>
        <color theme="1"/>
        <rFont val="Noto Sans CJK SC"/>
        <charset val="134"/>
      </rPr>
      <t>两全险保单详情页展示「保单贷款预估」：根据现金价值</t>
    </r>
    <r>
      <rPr>
        <sz val="11"/>
        <color theme="1"/>
        <rFont val="宋体"/>
        <charset val="134"/>
      </rPr>
      <t>×</t>
    </r>
    <r>
      <rPr>
        <sz val="11"/>
        <color theme="1"/>
        <rFont val="Noto Sans CJK SC"/>
        <charset val="134"/>
      </rPr>
      <t>贷款比例（一般</t>
    </r>
    <r>
      <rPr>
        <sz val="11"/>
        <color theme="1"/>
        <rFont val="宋体"/>
        <charset val="134"/>
      </rPr>
      <t>70-80%</t>
    </r>
    <r>
      <rPr>
        <sz val="11"/>
        <color theme="1"/>
        <rFont val="Noto Sans CJK SC"/>
        <charset val="134"/>
      </rPr>
      <t>，按产品配置）计算可贷额度；展示参考利率和还款说明；「申请贷款」跳转引导页（实际贷款需联系保司，平台仅提供预估</t>
    </r>
    <r>
      <rPr>
        <sz val="11"/>
        <color theme="1"/>
        <rFont val="宋体"/>
        <charset val="134"/>
      </rPr>
      <t>+</t>
    </r>
    <r>
      <rPr>
        <sz val="11"/>
        <color theme="1"/>
        <rFont val="Noto Sans CJK SC"/>
        <charset val="134"/>
      </rPr>
      <t>引导）；数据仅供参考不作为承诺。</t>
    </r>
  </si>
  <si>
    <r>
      <rPr>
        <sz val="11"/>
        <color theme="1"/>
        <rFont val="Noto Sans CJK SC"/>
        <charset val="134"/>
      </rPr>
      <t>现金价值</t>
    </r>
    <r>
      <rPr>
        <sz val="11"/>
        <color theme="1"/>
        <rFont val="宋体"/>
        <charset val="134"/>
      </rPr>
      <t>×</t>
    </r>
    <r>
      <rPr>
        <sz val="11"/>
        <color theme="1"/>
        <rFont val="Noto Sans CJK SC"/>
        <charset val="134"/>
      </rPr>
      <t>贷款比例前端计算；配置化参数；声明免责</t>
    </r>
  </si>
  <si>
    <r>
      <rPr>
        <sz val="9"/>
        <rFont val="宋体"/>
        <charset val="134"/>
      </rPr>
      <t>(</t>
    </r>
    <r>
      <rPr>
        <sz val="9"/>
        <rFont val="Noto Sans CJK SC"/>
        <charset val="134"/>
      </rPr>
      <t>前端合计</t>
    </r>
    <r>
      <rPr>
        <sz val="9"/>
        <rFont val="宋体"/>
        <charset val="134"/>
      </rPr>
      <t>/</t>
    </r>
    <r>
      <rPr>
        <sz val="9"/>
        <rFont val="Noto Sans CJK SC"/>
        <charset val="134"/>
      </rPr>
      <t>后端合计</t>
    </r>
    <r>
      <rPr>
        <sz val="9"/>
        <rFont val="宋体"/>
        <charset val="134"/>
      </rPr>
      <t>)</t>
    </r>
  </si>
  <si>
    <t>合格结算特定流程</t>
  </si>
  <si>
    <t>批量修改上游手续费并结算</t>
  </si>
  <si>
    <t>场景：保司结算单中手续费与录入数据不一致，需批量修改后重新结算。操作步骤：筛选指定批次/保司/时间段保单→勾选目标保单（最多500条/批）→批量输入新手续费率或覆盖金额→二次确认弹窗（涉及保单数/修改前后总额/差异）→确认后：更新insurance_settlement_detail.upstream_rate_actual；触发重算commission_record；若已发放则生成差额commission_record(type=ADJUSTMENT)进入审批发放流程；支持批量导入修改（Excel上传保单号+手续费率）；操作写sys_operate_log。对应操作手册248号。</t>
  </si>
  <si>
    <r>
      <rPr>
        <sz val="9"/>
        <rFont val="Arial"/>
        <charset val="134"/>
      </rPr>
      <t>EasyExcel</t>
    </r>
    <r>
      <rPr>
        <sz val="9"/>
        <rFont val="Noto Sans CJK SC"/>
        <charset val="134"/>
      </rPr>
      <t>批量导入修改；已发放佣金差额处理逻辑；批量操作分布式锁防并发</t>
    </r>
  </si>
  <si>
    <t>新增补充缺口6</t>
  </si>
  <si>
    <t>未填手续费跟单结算</t>
  </si>
  <si>
    <t>场景：保单导入时上游手续费字段为空（保司未确认费率），需「跟单」暂缓结算等保司确认后再结算。流程：①导入检测upstream_rate为空→标记PENDING_RATE（待确认费率）；②「跟单队列」页：展示所有PENDING_RATE保单（按保司/险种/时间分组）；③两种处理：A.手动填入手续费→触发佣金计算进入正常结算；B.忽略本期等下期补算→标记SKIP_CURRENT_PERIOD；④超期告警：超过配置天数（默认45天）未处理推送站内信给财务主管；⑤完整审计轨迹。对应操作手册249号。</t>
  </si>
  <si>
    <t>跟单状态机设计；超期告警XXL-Job定时任务；跟单记录审计日志</t>
  </si>
  <si>
    <t>合格-车险导出模板配置</t>
  </si>
  <si>
    <t>为「合格」品类配置专用车险导出模板：后台维护合格车险导出字段映射（字段名/列顺序/格式/是否必填）；支持多套模板（按保司/险种区分）；前端提供模板预览和下载样本；导出时选择模板→EasyExcel动态表头生成Excel→文件名含批次号+日期；支持查看历史导出记录。对应操作手册250号。</t>
  </si>
  <si>
    <r>
      <rPr>
        <sz val="9"/>
        <rFont val="Arial"/>
        <charset val="134"/>
      </rPr>
      <t>EasyExcel</t>
    </r>
    <r>
      <rPr>
        <sz val="9"/>
        <rFont val="Noto Sans CJK SC"/>
        <charset val="134"/>
      </rPr>
      <t>动态表头配置；模板版本管理；与保单筛选条件联动</t>
    </r>
  </si>
  <si>
    <t>合格-非车险导出模板配置</t>
  </si>
  <si>
    <t>与车险导出模板功能结构相同，字段配置针对非车险保单（含险种代码/被保标的/保障期限/非车专有字段）；支持按险种大类（财产险/工程险/责任险/农险等）配置不同模板；模板字段支持自定义排序和显隐；权限分离：配置权限（管理员）和导出权限（财务/内勤）分开。对应操作手册251号。</t>
  </si>
  <si>
    <t>非车险字段多样；权限分离：配置权限和使用权限</t>
  </si>
  <si>
    <t>合格-上游结算完整流程</t>
  </si>
  <si>
    <t>补充「合格」品类上游结算完整特定流程：①合格认定：系统按可配置规则（保单状态=有效+已回款+满足保司核实条件）自动标记合格保单，或人工批量导入合格名单；②合格汇总统计：按保司/月份/险种展示合格保单数/应得手续费/已收手续费/差异；③一键生成对账单：汇总生成标准对账单格式（HTML预览+Excel下载）；④结算确认：财务确认到账更新结算状态；⑤跟单/批量修改场景与本流程衔接说明。对应操作手册252-253号。</t>
  </si>
  <si>
    <t>合格认定规则引擎可配置；对账单模板生成；与跟单/批量修改流程状态衔接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</si>
</sst>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116">
    <font>
      <sz val="11"/>
      <color theme="1"/>
      <name val="宋体"/>
      <charset val="134"/>
    </font>
    <font>
      <b/>
      <sz val="10"/>
      <color rgb="FFFFFFFF"/>
      <name val="Noto Sans CJK SC"/>
      <charset val="134"/>
    </font>
    <font>
      <b/>
      <sz val="10"/>
      <name val="Noto Sans CJK SC"/>
      <charset val="134"/>
    </font>
    <font>
      <sz val="9"/>
      <name val="Noto Sans CJK SC"/>
      <charset val="134"/>
    </font>
    <font>
      <sz val="9"/>
      <name val="Arial"/>
      <charset val="134"/>
    </font>
    <font>
      <b/>
      <sz val="10"/>
      <name val="Arial"/>
      <charset val="134"/>
    </font>
    <font>
      <b/>
      <sz val="10"/>
      <name val="Noto Sans CJK SC"/>
      <charset val="134"/>
    </font>
    <font>
      <b/>
      <sz val="11"/>
      <color rgb="FF375623"/>
      <name val="Noto Sans CJK SC"/>
      <charset val="134"/>
    </font>
    <font>
      <sz val="11"/>
      <color theme="1"/>
      <name val="Noto Sans CJK SC"/>
      <charset val="134"/>
    </font>
    <font>
      <sz val="9"/>
      <name val="Noto Sans CJK SC"/>
      <charset val="134"/>
    </font>
    <font>
      <sz val="9"/>
      <name val="宋体"/>
      <charset val="134"/>
    </font>
    <font>
      <sz val="10"/>
      <name val="Noto Sans CJK SC"/>
      <charset val="134"/>
    </font>
    <font>
      <sz val="10"/>
      <name val="Arial"/>
      <charset val="1"/>
    </font>
    <font>
      <b/>
      <sz val="11"/>
      <color rgb="FFFFFFFF"/>
      <name val="Noto Sans CJK SC"/>
      <charset val="134"/>
    </font>
    <font>
      <sz val="10"/>
      <name val="微软雅黑"/>
      <charset val="1"/>
    </font>
    <font>
      <b/>
      <sz val="11"/>
      <color rgb="FFFFFFFF"/>
      <name val="微软雅黑"/>
      <charset val="1"/>
    </font>
    <font>
      <b/>
      <sz val="11"/>
      <name val="Noto Sans CJK SC"/>
      <charset val="134"/>
    </font>
    <font>
      <b/>
      <sz val="11"/>
      <name val="微软雅黑"/>
      <charset val="1"/>
    </font>
    <font>
      <sz val="9"/>
      <name val="Arial"/>
      <charset val="1"/>
    </font>
    <font>
      <b/>
      <sz val="10"/>
      <name val="Arial"/>
      <charset val="1"/>
    </font>
    <font>
      <b/>
      <sz val="10"/>
      <color rgb="FF1F4E79"/>
      <name val="Arial"/>
      <charset val="1"/>
    </font>
    <font>
      <b/>
      <sz val="9"/>
      <color rgb="FF000000"/>
      <name val="Noto Sans CJK SC"/>
      <charset val="134"/>
    </font>
    <font>
      <b/>
      <sz val="10"/>
      <color rgb="FF1F4E79"/>
      <name val="Noto Sans CJK SC"/>
      <charset val="134"/>
    </font>
    <font>
      <sz val="11"/>
      <color theme="1"/>
      <name val="Noto Sans CJK SC"/>
      <charset val="134"/>
    </font>
    <font>
      <sz val="9"/>
      <color rgb="FF7F7F7F"/>
      <name val="Noto Sans CJK SC"/>
      <charset val="134"/>
    </font>
    <font>
      <sz val="9"/>
      <color rgb="FF7F7F7F"/>
      <name val="Arial"/>
      <charset val="1"/>
    </font>
    <font>
      <b/>
      <sz val="10"/>
      <color rgb="FF000000"/>
      <name val="Noto Sans CJK SC"/>
      <charset val="134"/>
    </font>
    <font>
      <sz val="10"/>
      <color rgb="FF000000"/>
      <name val="Noto Sans CJK SC"/>
      <charset val="134"/>
    </font>
    <font>
      <b/>
      <sz val="10"/>
      <color rgb="FF000000"/>
      <name val="Arial"/>
      <charset val="1"/>
    </font>
    <font>
      <sz val="9"/>
      <name val="微软雅黑"/>
      <charset val="134"/>
    </font>
    <font>
      <sz val="11"/>
      <color rgb="FFFF0000"/>
      <name val="Cambria"/>
      <charset val="1"/>
    </font>
    <font>
      <sz val="11"/>
      <name val="Cambria"/>
      <charset val="1"/>
    </font>
    <font>
      <b/>
      <sz val="11"/>
      <color rgb="FF375623"/>
      <name val="宋体"/>
      <charset val="134"/>
    </font>
    <font>
      <b/>
      <sz val="10"/>
      <color rgb="FFFFFFFF"/>
      <name val="Noto Sans CJK SC"/>
      <charset val="134"/>
    </font>
    <font>
      <sz val="11"/>
      <name val="宋体"/>
      <charset val="1"/>
    </font>
    <font>
      <sz val="11"/>
      <color theme="1"/>
      <name val="Calibri"/>
      <charset val="134"/>
    </font>
    <font>
      <b/>
      <sz val="11"/>
      <name val="Calibri"/>
      <charset val="134"/>
    </font>
    <font>
      <sz val="11"/>
      <color rgb="FFFF0000"/>
      <name val="宋体"/>
      <charset val="134"/>
    </font>
    <font>
      <b/>
      <sz val="10"/>
      <color rgb="FFFFFFFF"/>
      <name val="Noto Sans CJK SC"/>
      <charset val="1"/>
    </font>
    <font>
      <b/>
      <sz val="10"/>
      <name val="Noto Sans CJK SC"/>
      <charset val="1"/>
    </font>
    <font>
      <sz val="10"/>
      <name val="Noto Sans CJK SC"/>
      <charset val="1"/>
    </font>
    <font>
      <b/>
      <sz val="10"/>
      <color rgb="FFFF0000"/>
      <name val="Arial"/>
      <charset val="1"/>
    </font>
    <font>
      <b/>
      <sz val="11"/>
      <color rgb="FF000000"/>
      <name val="Noto Sans CJK SC"/>
      <charset val="134"/>
    </font>
    <font>
      <b/>
      <sz val="11"/>
      <color rgb="FFC00000"/>
      <name val="Noto Sans CJK SC"/>
      <charset val="134"/>
    </font>
    <font>
      <sz val="10"/>
      <color rgb="FF000000"/>
      <name val="Arial"/>
      <charset val="1"/>
    </font>
    <font>
      <b/>
      <sz val="10"/>
      <color rgb="FF000000"/>
      <name val="Noto Sans CJK SC"/>
      <charset val="134"/>
    </font>
    <font>
      <sz val="10"/>
      <color rgb="FF000000"/>
      <name val="Noto Sans CJK SC"/>
      <charset val="134"/>
    </font>
    <font>
      <b/>
      <sz val="10"/>
      <color rgb="FF000000"/>
      <name val="宋体"/>
      <charset val="1"/>
    </font>
    <font>
      <b/>
      <sz val="11"/>
      <color rgb="FF1F3864"/>
      <name val="Noto Sans CJK SC"/>
      <charset val="134"/>
    </font>
    <font>
      <b/>
      <sz val="11"/>
      <color rgb="FF1F3864"/>
      <name val="Arial"/>
      <charset val="134"/>
    </font>
    <font>
      <b/>
      <sz val="11"/>
      <color rgb="FFFF0000"/>
      <name val="Arial"/>
      <charset val="134"/>
    </font>
    <font>
      <sz val="10"/>
      <color rgb="FF000000"/>
      <name val="Arial"/>
      <charset val="134"/>
    </font>
    <font>
      <b/>
      <sz val="14"/>
      <color rgb="FFFFFFFF"/>
      <name val="Noto Sans CJK SC"/>
      <charset val="134"/>
    </font>
    <font>
      <i/>
      <sz val="9"/>
      <color rgb="FF595959"/>
      <name val="Noto Sans CJK SC"/>
      <charset val="134"/>
    </font>
    <font>
      <b/>
      <sz val="10"/>
      <color rgb="FFFFFFFF"/>
      <name val="Arial"/>
      <charset val="1"/>
    </font>
    <font>
      <b/>
      <sz val="9"/>
      <color rgb="FF595959"/>
      <name val="Arial"/>
      <charset val="1"/>
    </font>
    <font>
      <b/>
      <sz val="9"/>
      <color rgb="FF000000"/>
      <name val="Noto Sans CJK SC"/>
      <charset val="134"/>
    </font>
    <font>
      <b/>
      <sz val="9"/>
      <color rgb="FF000000"/>
      <name val="Arial"/>
      <charset val="1"/>
    </font>
    <font>
      <sz val="8.5"/>
      <color rgb="FF000000"/>
      <name val="Noto Sans CJK SC"/>
      <charset val="134"/>
    </font>
    <font>
      <sz val="9"/>
      <color rgb="FF000000"/>
      <name val="Arial"/>
      <charset val="1"/>
    </font>
    <font>
      <b/>
      <sz val="9"/>
      <color rgb="FF0000CC"/>
      <name val="Arial"/>
      <charset val="1"/>
    </font>
    <font>
      <i/>
      <sz val="8"/>
      <color rgb="FF595959"/>
      <name val="Noto Sans CJK SC"/>
      <charset val="134"/>
    </font>
    <font>
      <b/>
      <sz val="9"/>
      <color rgb="FFFFFFFF"/>
      <name val="Arial"/>
      <charset val="1"/>
    </font>
    <font>
      <i/>
      <sz val="8"/>
      <color rgb="FF595959"/>
      <name val="Arial"/>
      <charset val="1"/>
    </font>
    <font>
      <b/>
      <sz val="12"/>
      <color rgb="FFFFFFFF"/>
      <name val="Noto Sans CJK SC"/>
      <charset val="134"/>
    </font>
    <font>
      <b/>
      <sz val="11"/>
      <color rgb="FF1E4E9B"/>
      <name val="Noto Sans CJK SC"/>
      <charset val="134"/>
    </font>
    <font>
      <sz val="9"/>
      <color rgb="FF404040"/>
      <name val="Arial"/>
      <charset val="1"/>
    </font>
    <font>
      <i/>
      <sz val="9"/>
      <color rgb="FF404040"/>
      <name val="Arial"/>
      <charset val="1"/>
    </font>
    <font>
      <b/>
      <sz val="11"/>
      <color rgb="FFFF0000"/>
      <name val="Arial"/>
      <charset val="1"/>
    </font>
    <font>
      <i/>
      <sz val="9"/>
      <color rgb="FFFFD700"/>
      <name val="Noto Sans CJK SC"/>
      <charset val="134"/>
    </font>
    <font>
      <sz val="11"/>
      <color rgb="FF000000"/>
      <name val="Noto Sans CJK SC"/>
      <charset val="134"/>
    </font>
    <font>
      <sz val="11"/>
      <color rgb="FF000000"/>
      <name val="宋体"/>
      <charset val="134"/>
    </font>
    <font>
      <sz val="10"/>
      <color rgb="FFFF0000"/>
      <name val="Arial"/>
      <charset val="134"/>
    </font>
    <font>
      <b/>
      <sz val="14"/>
      <color rgb="FFFFFFFF"/>
      <name val="Noto Sans CJK SC"/>
      <charset val="134"/>
    </font>
    <font>
      <sz val="10"/>
      <color rgb="FFFFFFFF"/>
      <name val="Noto Sans CJK SC"/>
      <charset val="134"/>
    </font>
    <font>
      <b/>
      <sz val="9"/>
      <color rgb="FFFFFFFF"/>
      <name val="Noto Sans CJK SC"/>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Noto Sans CJK SC"/>
      <charset val="134"/>
    </font>
    <font>
      <b/>
      <sz val="10"/>
      <color rgb="FFFFFFFF"/>
      <name val="宋体"/>
      <charset val="134"/>
    </font>
    <font>
      <sz val="10"/>
      <color rgb="FF000000"/>
      <name val="宋体"/>
      <charset val="134"/>
    </font>
    <font>
      <i/>
      <sz val="8"/>
      <color rgb="FF595959"/>
      <name val="Noto Sans CJK SC"/>
      <charset val="134"/>
    </font>
    <font>
      <sz val="9"/>
      <color rgb="FF000000"/>
      <name val="Noto Sans CJK SC"/>
      <charset val="134"/>
    </font>
    <font>
      <sz val="9"/>
      <color rgb="FF7F7F7F"/>
      <name val="Noto Sans CJK SC"/>
      <charset val="134"/>
    </font>
    <font>
      <b/>
      <sz val="11"/>
      <color rgb="FFFFFFFF"/>
      <name val="Noto Sans CJK SC"/>
      <charset val="134"/>
    </font>
    <font>
      <sz val="10"/>
      <color rgb="FFFF0000"/>
      <name val="Noto Sans CJK SC"/>
      <charset val="134"/>
    </font>
    <font>
      <b/>
      <sz val="11"/>
      <color rgb="FFFF0000"/>
      <name val="宋体-简"/>
      <charset val="134"/>
    </font>
    <font>
      <sz val="9"/>
      <name val="宋体-简"/>
      <charset val="134"/>
    </font>
    <font>
      <sz val="11"/>
      <color theme="1"/>
      <name val="宋体-简"/>
      <charset val="134"/>
    </font>
    <font>
      <sz val="10"/>
      <color rgb="FF000000"/>
      <name val="宋体-简"/>
      <charset val="134"/>
    </font>
    <font>
      <b/>
      <sz val="14"/>
      <color rgb="FFFFFFFF"/>
      <name val="Arial"/>
      <charset val="1"/>
    </font>
    <font>
      <b/>
      <sz val="10"/>
      <color rgb="FF1F4E79"/>
      <name val="Noto Sans CJK SC"/>
      <charset val="134"/>
    </font>
    <font>
      <sz val="11"/>
      <color rgb="FFFF0000"/>
      <name val="宋体-简"/>
      <charset val="1"/>
    </font>
    <font>
      <i/>
      <sz val="9"/>
      <color rgb="FF404040"/>
      <name val="Noto Sans CJK SC"/>
      <charset val="134"/>
    </font>
    <font>
      <sz val="9"/>
      <color rgb="FF404040"/>
      <name val="Noto Sans CJK SC"/>
      <charset val="134"/>
    </font>
    <font>
      <b/>
      <sz val="11"/>
      <color rgb="FF1F3864"/>
      <name val="Noto Sans CJK SC"/>
      <charset val="134"/>
    </font>
    <font>
      <sz val="10"/>
      <color rgb="FFFFFFFF"/>
      <name val="Arial"/>
      <charset val="1"/>
    </font>
  </fonts>
  <fills count="93">
    <fill>
      <patternFill patternType="none"/>
    </fill>
    <fill>
      <patternFill patternType="gray125"/>
    </fill>
    <fill>
      <patternFill patternType="solid">
        <fgColor rgb="FF4472C4"/>
        <bgColor rgb="FF2E75B6"/>
      </patternFill>
    </fill>
    <fill>
      <patternFill patternType="solid">
        <fgColor rgb="FFD9E1F2"/>
        <bgColor rgb="FFD6E4F0"/>
      </patternFill>
    </fill>
    <fill>
      <patternFill patternType="solid">
        <fgColor rgb="FFE2EFDA"/>
        <bgColor rgb="FFE9F5E9"/>
      </patternFill>
    </fill>
    <fill>
      <patternFill patternType="solid">
        <fgColor rgb="FFFCE4D6"/>
        <bgColor rgb="FFFFE6CC"/>
      </patternFill>
    </fill>
    <fill>
      <patternFill patternType="solid">
        <fgColor rgb="FFFFFF00"/>
        <bgColor rgb="FFFFD700"/>
      </patternFill>
    </fill>
    <fill>
      <patternFill patternType="solid">
        <fgColor rgb="FF1F4D7A"/>
        <bgColor rgb="FF1E4E9B"/>
      </patternFill>
    </fill>
    <fill>
      <patternFill patternType="solid">
        <fgColor rgb="FFFFF2CC"/>
        <bgColor rgb="FFFFF3E0"/>
      </patternFill>
    </fill>
    <fill>
      <patternFill patternType="solid">
        <fgColor rgb="FF366092"/>
        <bgColor rgb="FF2F5597"/>
      </patternFill>
    </fill>
    <fill>
      <patternFill patternType="solid">
        <fgColor rgb="FFFFC000"/>
        <bgColor rgb="FFFFD700"/>
      </patternFill>
    </fill>
    <fill>
      <patternFill patternType="solid">
        <fgColor rgb="FFFFE599"/>
        <bgColor rgb="FFFFEB9C"/>
      </patternFill>
    </fill>
    <fill>
      <patternFill patternType="solid">
        <fgColor rgb="FFB7DEE8"/>
        <bgColor rgb="FFBDD7EE"/>
      </patternFill>
    </fill>
    <fill>
      <patternFill patternType="solid">
        <fgColor rgb="FFD6E4F0"/>
        <bgColor rgb="FFD9E1F2"/>
      </patternFill>
    </fill>
    <fill>
      <patternFill patternType="solid">
        <fgColor rgb="FFDDEBF7"/>
        <bgColor rgb="FFDAE8FC"/>
      </patternFill>
    </fill>
    <fill>
      <patternFill patternType="solid">
        <fgColor rgb="FFF2E7FE"/>
        <bgColor rgb="FFF2F2F2"/>
      </patternFill>
    </fill>
    <fill>
      <patternFill patternType="solid">
        <fgColor rgb="FFF2F2F2"/>
        <bgColor rgb="FFEEF3FB"/>
      </patternFill>
    </fill>
    <fill>
      <patternFill patternType="solid">
        <fgColor rgb="FF2E75B6"/>
        <bgColor rgb="FF4472C4"/>
      </patternFill>
    </fill>
    <fill>
      <patternFill patternType="solid">
        <fgColor rgb="FFBDD7EE"/>
        <bgColor rgb="FFB7DEE8"/>
      </patternFill>
    </fill>
    <fill>
      <patternFill patternType="solid">
        <fgColor rgb="FFFFC000"/>
        <bgColor indexed="64"/>
      </patternFill>
    </fill>
    <fill>
      <patternFill patternType="solid">
        <fgColor theme="0"/>
        <bgColor indexed="64"/>
      </patternFill>
    </fill>
    <fill>
      <patternFill patternType="solid">
        <fgColor rgb="FFFFC000"/>
        <bgColor rgb="FFBDD7EE"/>
      </patternFill>
    </fill>
    <fill>
      <patternFill patternType="solid">
        <fgColor theme="0"/>
        <bgColor rgb="FFFAFAFA"/>
      </patternFill>
    </fill>
    <fill>
      <patternFill patternType="solid">
        <fgColor rgb="FFFFC000"/>
        <bgColor rgb="FFEEF3FB"/>
      </patternFill>
    </fill>
    <fill>
      <patternFill patternType="solid">
        <fgColor rgb="FFFFC000"/>
        <bgColor rgb="FFFAFAFA"/>
      </patternFill>
    </fill>
    <fill>
      <patternFill patternType="solid">
        <fgColor theme="0"/>
        <bgColor rgb="FFEEF3FB"/>
      </patternFill>
    </fill>
    <fill>
      <patternFill patternType="solid">
        <fgColor theme="6"/>
        <bgColor rgb="FFBDD7EE"/>
      </patternFill>
    </fill>
    <fill>
      <patternFill patternType="solid">
        <fgColor rgb="FFFFFFFF"/>
        <bgColor rgb="FFFAFAFA"/>
      </patternFill>
    </fill>
    <fill>
      <patternFill patternType="solid">
        <fgColor rgb="FF2F5597"/>
        <bgColor rgb="FF366092"/>
      </patternFill>
    </fill>
    <fill>
      <patternFill patternType="solid">
        <fgColor rgb="FFEEF3FB"/>
        <bgColor rgb="FFEBF3FB"/>
      </patternFill>
    </fill>
    <fill>
      <patternFill patternType="solid">
        <fgColor rgb="FFFFD700"/>
        <bgColor rgb="FFFFC000"/>
      </patternFill>
    </fill>
    <fill>
      <patternFill patternType="solid">
        <fgColor rgb="FFFFC000"/>
        <bgColor indexed="64"/>
      </patternFill>
    </fill>
    <fill>
      <patternFill patternType="solid">
        <fgColor rgb="FFD5E8F0"/>
        <bgColor rgb="FFD6E4F0"/>
      </patternFill>
    </fill>
    <fill>
      <patternFill patternType="solid">
        <fgColor rgb="FFD5F0E8"/>
        <bgColor rgb="FFD5E8F0"/>
      </patternFill>
    </fill>
    <fill>
      <patternFill patternType="solid">
        <fgColor rgb="FFF0E8D5"/>
        <bgColor rgb="FFF0F0D5"/>
      </patternFill>
    </fill>
    <fill>
      <patternFill patternType="solid">
        <fgColor rgb="FFEAD5F0"/>
        <bgColor rgb="FFE1D5E7"/>
      </patternFill>
    </fill>
    <fill>
      <patternFill patternType="solid">
        <fgColor rgb="FFF0D5D5"/>
        <bgColor rgb="FFEAD5F0"/>
      </patternFill>
    </fill>
    <fill>
      <patternFill patternType="solid">
        <fgColor rgb="FFD5EAD5"/>
        <bgColor rgb="FFD5E8D4"/>
      </patternFill>
    </fill>
    <fill>
      <patternFill patternType="solid">
        <fgColor rgb="FFF0F0D5"/>
        <bgColor rgb="FFF0E8D5"/>
      </patternFill>
    </fill>
    <fill>
      <patternFill patternType="solid">
        <fgColor theme="0"/>
        <bgColor indexed="64"/>
      </patternFill>
    </fill>
    <fill>
      <patternFill patternType="solid">
        <fgColor rgb="FFFFC000"/>
        <bgColor rgb="FFB7DEE8"/>
      </patternFill>
    </fill>
    <fill>
      <patternFill patternType="solid">
        <fgColor rgb="FFFFC000"/>
        <bgColor rgb="FFFFF3E0"/>
      </patternFill>
    </fill>
    <fill>
      <patternFill patternType="solid">
        <fgColor rgb="FFC6EFCE"/>
        <bgColor rgb="FFD5EAD5"/>
      </patternFill>
    </fill>
    <fill>
      <patternFill patternType="solid">
        <fgColor rgb="FF1E4E9B"/>
        <bgColor rgb="FF2F5597"/>
      </patternFill>
    </fill>
    <fill>
      <patternFill patternType="solid">
        <fgColor rgb="FFEBF3FB"/>
        <bgColor rgb="FFEEF3FB"/>
      </patternFill>
    </fill>
    <fill>
      <patternFill patternType="solid">
        <fgColor rgb="FF1D5C20"/>
        <bgColor rgb="FF404040"/>
      </patternFill>
    </fill>
    <fill>
      <patternFill patternType="solid">
        <fgColor rgb="FFE9F5E9"/>
        <bgColor rgb="FFF2F2F2"/>
      </patternFill>
    </fill>
    <fill>
      <patternFill patternType="solid">
        <fgColor rgb="FFB45309"/>
        <bgColor rgb="FFED7D31"/>
      </patternFill>
    </fill>
    <fill>
      <patternFill patternType="solid">
        <fgColor rgb="FFFFF3E0"/>
        <bgColor rgb="FFFFF2CC"/>
      </patternFill>
    </fill>
    <fill>
      <patternFill patternType="solid">
        <fgColor rgb="FFFFEB9C"/>
        <bgColor rgb="FFFFE599"/>
      </patternFill>
    </fill>
    <fill>
      <patternFill patternType="darkGray">
        <fgColor rgb="FFFF0000"/>
        <bgColor rgb="FFB45309"/>
      </patternFill>
    </fill>
    <fill>
      <patternFill patternType="solid">
        <fgColor rgb="FFED7D31"/>
        <bgColor rgb="FFB45309"/>
      </patternFill>
    </fill>
    <fill>
      <patternFill patternType="solid">
        <fgColor rgb="FF1A1A2E"/>
        <bgColor rgb="FF000000"/>
      </patternFill>
    </fill>
    <fill>
      <patternFill patternType="solid">
        <fgColor rgb="FFFAFAFA"/>
        <bgColor rgb="FFFFFFFF"/>
      </patternFill>
    </fill>
    <fill>
      <patternFill patternType="solid">
        <fgColor rgb="FFDAE8FC"/>
        <bgColor rgb="FFDDEBF7"/>
      </patternFill>
    </fill>
    <fill>
      <patternFill patternType="solid">
        <fgColor rgb="FFD5E8D4"/>
        <bgColor rgb="FFD5EAD5"/>
      </patternFill>
    </fill>
    <fill>
      <patternFill patternType="solid">
        <fgColor rgb="FFFFE6CC"/>
        <bgColor rgb="FFFCE4D6"/>
      </patternFill>
    </fill>
    <fill>
      <patternFill patternType="solid">
        <fgColor rgb="FF8CDDFA"/>
        <bgColor rgb="FFB7DEE8"/>
      </patternFill>
    </fill>
    <fill>
      <patternFill patternType="solid">
        <fgColor rgb="FFE1D5E7"/>
        <bgColor rgb="FFEAD5F0"/>
      </patternFill>
    </fill>
    <fill>
      <patternFill patternType="solid">
        <fgColor rgb="FFFFC9C7"/>
        <bgColor rgb="FFFFC7CE"/>
      </patternFill>
    </fill>
    <fill>
      <patternFill patternType="solid">
        <fgColor rgb="FFF2C7FF"/>
        <bgColor rgb="FFEAD5F0"/>
      </patternFill>
    </fill>
    <fill>
      <patternFill patternType="solid">
        <fgColor rgb="FFFFC7CE"/>
        <bgColor rgb="FFFFC9C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6" fillId="0" borderId="0" applyBorder="0" applyAlignment="0" applyProtection="0"/>
    <xf numFmtId="44" fontId="76" fillId="0" borderId="0" applyBorder="0" applyAlignment="0" applyProtection="0"/>
    <xf numFmtId="9" fontId="76" fillId="0" borderId="0" applyBorder="0" applyAlignment="0" applyProtection="0"/>
    <xf numFmtId="41" fontId="76" fillId="0" borderId="0" applyBorder="0" applyAlignment="0" applyProtection="0"/>
    <xf numFmtId="42" fontId="76" fillId="0" borderId="0" applyBorder="0" applyAlignment="0" applyProtection="0"/>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62" borderId="13" applyNumberFormat="0" applyFon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14" applyNumberFormat="0" applyFill="0" applyAlignment="0" applyProtection="0">
      <alignment vertical="center"/>
    </xf>
    <xf numFmtId="0" fontId="84" fillId="0" borderId="14" applyNumberFormat="0" applyFill="0" applyAlignment="0" applyProtection="0">
      <alignment vertical="center"/>
    </xf>
    <xf numFmtId="0" fontId="85" fillId="0" borderId="15" applyNumberFormat="0" applyFill="0" applyAlignment="0" applyProtection="0">
      <alignment vertical="center"/>
    </xf>
    <xf numFmtId="0" fontId="85" fillId="0" borderId="0" applyNumberFormat="0" applyFill="0" applyBorder="0" applyAlignment="0" applyProtection="0">
      <alignment vertical="center"/>
    </xf>
    <xf numFmtId="0" fontId="86" fillId="63" borderId="16" applyNumberFormat="0" applyAlignment="0" applyProtection="0">
      <alignment vertical="center"/>
    </xf>
    <xf numFmtId="0" fontId="87" fillId="64" borderId="17" applyNumberFormat="0" applyAlignment="0" applyProtection="0">
      <alignment vertical="center"/>
    </xf>
    <xf numFmtId="0" fontId="88" fillId="64" borderId="16" applyNumberFormat="0" applyAlignment="0" applyProtection="0">
      <alignment vertical="center"/>
    </xf>
    <xf numFmtId="0" fontId="89" fillId="65" borderId="18" applyNumberFormat="0" applyAlignment="0" applyProtection="0">
      <alignment vertical="center"/>
    </xf>
    <xf numFmtId="0" fontId="90" fillId="0" borderId="19" applyNumberFormat="0" applyFill="0" applyAlignment="0" applyProtection="0">
      <alignment vertical="center"/>
    </xf>
    <xf numFmtId="0" fontId="91" fillId="0" borderId="20" applyNumberFormat="0" applyFill="0" applyAlignment="0" applyProtection="0">
      <alignment vertical="center"/>
    </xf>
    <xf numFmtId="0" fontId="92" fillId="66" borderId="0" applyNumberFormat="0" applyBorder="0" applyAlignment="0" applyProtection="0">
      <alignment vertical="center"/>
    </xf>
    <xf numFmtId="0" fontId="93" fillId="67" borderId="0" applyNumberFormat="0" applyBorder="0" applyAlignment="0" applyProtection="0">
      <alignment vertical="center"/>
    </xf>
    <xf numFmtId="0" fontId="94" fillId="68" borderId="0" applyNumberFormat="0" applyBorder="0" applyAlignment="0" applyProtection="0">
      <alignment vertical="center"/>
    </xf>
    <xf numFmtId="0" fontId="95" fillId="69" borderId="0" applyNumberFormat="0" applyBorder="0" applyAlignment="0" applyProtection="0">
      <alignment vertical="center"/>
    </xf>
    <xf numFmtId="0" fontId="96" fillId="70" borderId="0" applyNumberFormat="0" applyBorder="0" applyAlignment="0" applyProtection="0">
      <alignment vertical="center"/>
    </xf>
    <xf numFmtId="0" fontId="96" fillId="71" borderId="0" applyNumberFormat="0" applyBorder="0" applyAlignment="0" applyProtection="0">
      <alignment vertical="center"/>
    </xf>
    <xf numFmtId="0" fontId="95" fillId="72" borderId="0" applyNumberFormat="0" applyBorder="0" applyAlignment="0" applyProtection="0">
      <alignment vertical="center"/>
    </xf>
    <xf numFmtId="0" fontId="95" fillId="73" borderId="0" applyNumberFormat="0" applyBorder="0" applyAlignment="0" applyProtection="0">
      <alignment vertical="center"/>
    </xf>
    <xf numFmtId="0" fontId="96" fillId="74" borderId="0" applyNumberFormat="0" applyBorder="0" applyAlignment="0" applyProtection="0">
      <alignment vertical="center"/>
    </xf>
    <xf numFmtId="0" fontId="96" fillId="75" borderId="0" applyNumberFormat="0" applyBorder="0" applyAlignment="0" applyProtection="0">
      <alignment vertical="center"/>
    </xf>
    <xf numFmtId="0" fontId="95" fillId="76" borderId="0" applyNumberFormat="0" applyBorder="0" applyAlignment="0" applyProtection="0">
      <alignment vertical="center"/>
    </xf>
    <xf numFmtId="0" fontId="95" fillId="77" borderId="0" applyNumberFormat="0" applyBorder="0" applyAlignment="0" applyProtection="0">
      <alignment vertical="center"/>
    </xf>
    <xf numFmtId="0" fontId="96" fillId="78" borderId="0" applyNumberFormat="0" applyBorder="0" applyAlignment="0" applyProtection="0">
      <alignment vertical="center"/>
    </xf>
    <xf numFmtId="0" fontId="96" fillId="79" borderId="0" applyNumberFormat="0" applyBorder="0" applyAlignment="0" applyProtection="0">
      <alignment vertical="center"/>
    </xf>
    <xf numFmtId="0" fontId="95" fillId="80" borderId="0" applyNumberFormat="0" applyBorder="0" applyAlignment="0" applyProtection="0">
      <alignment vertical="center"/>
    </xf>
    <xf numFmtId="0" fontId="95" fillId="81" borderId="0" applyNumberFormat="0" applyBorder="0" applyAlignment="0" applyProtection="0">
      <alignment vertical="center"/>
    </xf>
    <xf numFmtId="0" fontId="96" fillId="82" borderId="0" applyNumberFormat="0" applyBorder="0" applyAlignment="0" applyProtection="0">
      <alignment vertical="center"/>
    </xf>
    <xf numFmtId="0" fontId="96" fillId="83" borderId="0" applyNumberFormat="0" applyBorder="0" applyAlignment="0" applyProtection="0">
      <alignment vertical="center"/>
    </xf>
    <xf numFmtId="0" fontId="95" fillId="84" borderId="0" applyNumberFormat="0" applyBorder="0" applyAlignment="0" applyProtection="0">
      <alignment vertical="center"/>
    </xf>
    <xf numFmtId="0" fontId="95" fillId="85" borderId="0" applyNumberFormat="0" applyBorder="0" applyAlignment="0" applyProtection="0">
      <alignment vertical="center"/>
    </xf>
    <xf numFmtId="0" fontId="96" fillId="86" borderId="0" applyNumberFormat="0" applyBorder="0" applyAlignment="0" applyProtection="0">
      <alignment vertical="center"/>
    </xf>
    <xf numFmtId="0" fontId="96" fillId="87" borderId="0" applyNumberFormat="0" applyBorder="0" applyAlignment="0" applyProtection="0">
      <alignment vertical="center"/>
    </xf>
    <xf numFmtId="0" fontId="95" fillId="88" borderId="0" applyNumberFormat="0" applyBorder="0" applyAlignment="0" applyProtection="0">
      <alignment vertical="center"/>
    </xf>
    <xf numFmtId="0" fontId="95" fillId="89" borderId="0" applyNumberFormat="0" applyBorder="0" applyAlignment="0" applyProtection="0">
      <alignment vertical="center"/>
    </xf>
    <xf numFmtId="0" fontId="96" fillId="90" borderId="0" applyNumberFormat="0" applyBorder="0" applyAlignment="0" applyProtection="0">
      <alignment vertical="center"/>
    </xf>
    <xf numFmtId="0" fontId="96" fillId="91" borderId="0" applyNumberFormat="0" applyBorder="0" applyAlignment="0" applyProtection="0">
      <alignment vertical="center"/>
    </xf>
    <xf numFmtId="0" fontId="95" fillId="92" borderId="0" applyNumberFormat="0" applyBorder="0" applyAlignment="0" applyProtection="0">
      <alignment vertical="center"/>
    </xf>
  </cellStyleXfs>
  <cellXfs count="348">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4" fillId="4" borderId="1" xfId="0" applyFont="1" applyFill="1" applyBorder="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0" fillId="4" borderId="1" xfId="0" applyFill="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7" fillId="5"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3" fillId="6" borderId="1" xfId="0" applyFont="1" applyFill="1" applyBorder="1" applyAlignment="1">
      <alignment vertical="top" wrapText="1"/>
    </xf>
    <xf numFmtId="0" fontId="9" fillId="6" borderId="1" xfId="0" applyFont="1" applyFill="1" applyBorder="1" applyAlignment="1">
      <alignment vertical="top" wrapText="1"/>
    </xf>
    <xf numFmtId="0" fontId="4" fillId="6" borderId="1" xfId="0" applyFont="1" applyFill="1" applyBorder="1" applyAlignment="1">
      <alignment vertical="top" wrapText="1"/>
    </xf>
    <xf numFmtId="0" fontId="1" fillId="7" borderId="0" xfId="0" applyFont="1" applyFill="1" applyAlignment="1">
      <alignment horizontal="center" vertical="center" wrapText="1"/>
    </xf>
    <xf numFmtId="0" fontId="2" fillId="4" borderId="0" xfId="0" applyFont="1" applyFill="1" applyAlignment="1">
      <alignment vertical="top" wrapText="1"/>
    </xf>
    <xf numFmtId="0" fontId="11" fillId="0" borderId="0" xfId="0" applyFont="1" applyAlignment="1">
      <alignment vertical="top" wrapText="1"/>
    </xf>
    <xf numFmtId="0" fontId="2" fillId="8" borderId="0" xfId="0" applyFont="1" applyFill="1"/>
    <xf numFmtId="0" fontId="12" fillId="0" borderId="0" xfId="0" applyFont="1" applyAlignment="1">
      <alignment vertical="top" wrapText="1"/>
    </xf>
    <xf numFmtId="0" fontId="13" fillId="9"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4" fillId="0" borderId="1" xfId="0" applyFont="1" applyBorder="1" applyAlignment="1">
      <alignment vertical="top" wrapText="1"/>
    </xf>
    <xf numFmtId="0" fontId="11" fillId="0" borderId="1" xfId="0" applyFont="1" applyBorder="1" applyAlignment="1">
      <alignment vertical="top" wrapText="1"/>
    </xf>
    <xf numFmtId="0" fontId="15" fillId="2" borderId="1" xfId="0" applyFont="1" applyFill="1" applyBorder="1" applyAlignment="1">
      <alignment horizontal="left" vertical="center" wrapText="1"/>
    </xf>
    <xf numFmtId="0" fontId="16" fillId="10" borderId="2" xfId="0" applyFont="1" applyFill="1" applyBorder="1" applyAlignment="1">
      <alignment horizontal="center" vertical="center"/>
    </xf>
    <xf numFmtId="0" fontId="16" fillId="10" borderId="2" xfId="0" applyFont="1" applyFill="1" applyBorder="1" applyAlignment="1">
      <alignment horizontal="left" vertical="center" wrapText="1"/>
    </xf>
    <xf numFmtId="0" fontId="17" fillId="10" borderId="2" xfId="0" applyFont="1" applyFill="1" applyBorder="1"/>
    <xf numFmtId="0" fontId="0" fillId="11" borderId="2" xfId="0" applyFill="1" applyBorder="1"/>
    <xf numFmtId="0" fontId="1" fillId="9"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18" fillId="0" borderId="1" xfId="0" applyFont="1" applyBorder="1" applyAlignment="1">
      <alignment horizontal="left" vertical="center" wrapText="1"/>
    </xf>
    <xf numFmtId="0" fontId="3" fillId="0" borderId="1" xfId="0" applyFont="1" applyBorder="1" applyAlignment="1">
      <alignment horizontal="left" vertical="center" wrapText="1"/>
    </xf>
    <xf numFmtId="0" fontId="18" fillId="0" borderId="1" xfId="0" applyFont="1" applyBorder="1" applyAlignment="1">
      <alignment horizontal="center" vertical="center" wrapText="1"/>
    </xf>
    <xf numFmtId="0" fontId="19" fillId="12" borderId="1" xfId="0" applyFont="1" applyFill="1" applyBorder="1" applyAlignment="1">
      <alignment horizontal="center" vertical="center" wrapText="1"/>
    </xf>
    <xf numFmtId="0" fontId="18"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18" fillId="11"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19" fillId="11" borderId="1" xfId="0" applyFont="1" applyFill="1" applyBorder="1" applyAlignment="1">
      <alignment horizontal="center" vertical="center" wrapText="1"/>
    </xf>
    <xf numFmtId="0" fontId="20" fillId="13"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0" fillId="0" borderId="1" xfId="0" applyBorder="1" applyAlignment="1">
      <alignment horizontal="center" vertical="center" wrapText="1"/>
    </xf>
    <xf numFmtId="0" fontId="11" fillId="0" borderId="1" xfId="0" applyFont="1" applyBorder="1" applyAlignment="1">
      <alignment horizontal="left" vertical="center" wrapText="1"/>
    </xf>
    <xf numFmtId="0" fontId="2" fillId="12"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22" fillId="13" borderId="1" xfId="0" applyFont="1" applyFill="1" applyBorder="1" applyAlignment="1">
      <alignment horizontal="center" vertical="center" wrapText="1"/>
    </xf>
    <xf numFmtId="0" fontId="23" fillId="13" borderId="1" xfId="0" applyFont="1" applyFill="1" applyBorder="1" applyAlignment="1">
      <alignment horizontal="left" vertical="center" wrapText="1"/>
    </xf>
    <xf numFmtId="0" fontId="0" fillId="13" borderId="1" xfId="0" applyFill="1" applyBorder="1" applyAlignment="1">
      <alignment horizontal="left" vertical="center" wrapText="1"/>
    </xf>
    <xf numFmtId="0" fontId="0" fillId="0" borderId="1" xfId="0" applyBorder="1"/>
    <xf numFmtId="0" fontId="12" fillId="0" borderId="1" xfId="0" applyFont="1" applyBorder="1" applyAlignment="1">
      <alignment horizontal="left" vertical="center" wrapText="1"/>
    </xf>
    <xf numFmtId="0" fontId="2" fillId="11" borderId="1" xfId="0" applyFont="1" applyFill="1" applyBorder="1" applyAlignment="1">
      <alignment horizontal="center" vertical="center" wrapText="1"/>
    </xf>
    <xf numFmtId="0" fontId="0" fillId="13" borderId="1" xfId="0" applyFill="1" applyBorder="1"/>
    <xf numFmtId="0" fontId="23" fillId="0" borderId="1" xfId="0" applyFont="1" applyBorder="1" applyAlignment="1">
      <alignment horizontal="center" vertical="center" wrapText="1"/>
    </xf>
    <xf numFmtId="0" fontId="24" fillId="0" borderId="1" xfId="0" applyFont="1" applyBorder="1" applyAlignment="1">
      <alignment horizontal="left" vertical="center" wrapText="1"/>
    </xf>
    <xf numFmtId="0" fontId="3" fillId="0" borderId="1" xfId="0" applyFont="1" applyBorder="1" applyAlignment="1">
      <alignment horizontal="center" vertical="center" wrapText="1"/>
    </xf>
    <xf numFmtId="0" fontId="25" fillId="0" borderId="1" xfId="0" applyFont="1" applyBorder="1" applyAlignment="1">
      <alignment horizontal="left" vertical="center" wrapText="1"/>
    </xf>
    <xf numFmtId="0" fontId="25" fillId="12" borderId="1" xfId="0" applyFont="1" applyFill="1" applyBorder="1" applyAlignment="1">
      <alignment horizontal="left" vertical="center" wrapText="1"/>
    </xf>
    <xf numFmtId="0" fontId="24" fillId="12" borderId="1" xfId="0" applyFont="1" applyFill="1" applyBorder="1" applyAlignment="1">
      <alignment horizontal="left" vertical="center" wrapText="1"/>
    </xf>
    <xf numFmtId="0" fontId="0" fillId="0" borderId="0" xfId="0" applyFont="1" applyAlignment="1">
      <alignment wrapText="1"/>
    </xf>
    <xf numFmtId="0" fontId="0" fillId="6" borderId="0" xfId="0" applyFill="1"/>
    <xf numFmtId="0" fontId="0" fillId="0" borderId="1" xfId="0" applyBorder="1" applyAlignment="1">
      <alignment horizontal="left" vertical="center" wrapText="1"/>
    </xf>
    <xf numFmtId="0" fontId="23" fillId="0" borderId="1" xfId="0" applyFont="1" applyBorder="1" applyAlignment="1">
      <alignment horizontal="left" vertical="center" wrapText="1"/>
    </xf>
    <xf numFmtId="0" fontId="0" fillId="6" borderId="1" xfId="0" applyFill="1" applyBorder="1" applyAlignment="1">
      <alignment horizontal="left" vertical="center" wrapText="1"/>
    </xf>
    <xf numFmtId="0" fontId="8" fillId="6" borderId="1" xfId="0" applyFont="1" applyFill="1" applyBorder="1" applyAlignment="1">
      <alignment horizontal="left" vertical="center" wrapText="1"/>
    </xf>
    <xf numFmtId="0" fontId="10" fillId="14" borderId="3" xfId="0" applyFont="1" applyFill="1" applyBorder="1" applyAlignment="1">
      <alignment horizontal="center" vertical="center"/>
    </xf>
    <xf numFmtId="0" fontId="10" fillId="8" borderId="3" xfId="0" applyFont="1" applyFill="1" applyBorder="1" applyAlignment="1">
      <alignment horizontal="center" vertical="center"/>
    </xf>
    <xf numFmtId="0" fontId="10" fillId="5" borderId="3" xfId="0" applyFont="1" applyFill="1" applyBorder="1" applyAlignment="1">
      <alignment horizontal="center" vertical="center"/>
    </xf>
    <xf numFmtId="0" fontId="10" fillId="15" borderId="3" xfId="0" applyFont="1" applyFill="1" applyBorder="1" applyAlignment="1">
      <alignment horizontal="center" vertical="center"/>
    </xf>
    <xf numFmtId="0" fontId="26" fillId="11" borderId="2" xfId="0" applyFont="1" applyFill="1" applyBorder="1" applyAlignment="1">
      <alignment horizontal="center" vertical="center"/>
    </xf>
    <xf numFmtId="0" fontId="27" fillId="11" borderId="2" xfId="0" applyFont="1" applyFill="1" applyBorder="1" applyAlignment="1">
      <alignment horizontal="left" vertical="center" wrapText="1"/>
    </xf>
    <xf numFmtId="0" fontId="28" fillId="11" borderId="2" xfId="0" applyFont="1" applyFill="1" applyBorder="1" applyAlignment="1">
      <alignment horizontal="center" vertical="center"/>
    </xf>
    <xf numFmtId="0" fontId="3" fillId="16" borderId="3" xfId="0" applyFont="1" applyFill="1" applyBorder="1" applyAlignment="1">
      <alignment horizontal="left" vertical="center" wrapText="1"/>
    </xf>
    <xf numFmtId="0" fontId="10" fillId="8" borderId="3" xfId="0" applyFont="1" applyFill="1" applyBorder="1" applyAlignment="1">
      <alignment horizontal="left" vertical="top" wrapText="1"/>
    </xf>
    <xf numFmtId="0" fontId="3" fillId="8" borderId="3" xfId="0" applyFont="1" applyFill="1" applyBorder="1" applyAlignment="1">
      <alignment horizontal="left" vertical="top" wrapText="1"/>
    </xf>
    <xf numFmtId="0" fontId="10" fillId="15" borderId="3" xfId="0" applyFont="1" applyFill="1" applyBorder="1" applyAlignment="1">
      <alignment horizontal="left" vertical="top" wrapText="1"/>
    </xf>
    <xf numFmtId="0" fontId="1" fillId="17"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29" fillId="0" borderId="3" xfId="0" applyFont="1" applyBorder="1" applyAlignment="1">
      <alignment horizontal="left" vertical="center" wrapText="1"/>
    </xf>
    <xf numFmtId="0" fontId="29"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10" fillId="0" borderId="3" xfId="0" applyFont="1" applyBorder="1" applyAlignment="1">
      <alignment horizontal="left" vertical="center" wrapText="1"/>
    </xf>
    <xf numFmtId="0" fontId="0" fillId="19" borderId="0" xfId="0" applyFill="1"/>
    <xf numFmtId="0" fontId="0" fillId="20" borderId="0" xfId="0" applyFill="1"/>
    <xf numFmtId="0" fontId="2" fillId="21" borderId="3" xfId="0" applyFont="1" applyFill="1" applyBorder="1" applyAlignment="1">
      <alignment horizontal="left" vertical="center" wrapText="1"/>
    </xf>
    <xf numFmtId="0" fontId="18" fillId="22" borderId="3" xfId="0" applyFont="1" applyFill="1" applyBorder="1" applyAlignment="1">
      <alignment horizontal="left" vertical="center" wrapText="1"/>
    </xf>
    <xf numFmtId="0" fontId="3" fillId="22" borderId="3" xfId="0" applyFont="1" applyFill="1" applyBorder="1" applyAlignment="1">
      <alignment horizontal="left" vertical="center" wrapText="1"/>
    </xf>
    <xf numFmtId="0" fontId="18" fillId="22" borderId="3" xfId="0" applyFont="1" applyFill="1" applyBorder="1" applyAlignment="1">
      <alignment horizontal="center" vertical="center" wrapText="1"/>
    </xf>
    <xf numFmtId="0" fontId="18" fillId="23" borderId="3" xfId="0" applyFont="1" applyFill="1" applyBorder="1" applyAlignment="1">
      <alignment horizontal="left" vertical="center" wrapText="1"/>
    </xf>
    <xf numFmtId="0" fontId="3" fillId="23" borderId="3" xfId="0" applyFont="1" applyFill="1" applyBorder="1" applyAlignment="1">
      <alignment horizontal="left" vertical="center" wrapText="1"/>
    </xf>
    <xf numFmtId="0" fontId="18" fillId="23" borderId="3" xfId="0" applyFont="1" applyFill="1" applyBorder="1" applyAlignment="1">
      <alignment horizontal="center" vertical="center" wrapText="1"/>
    </xf>
    <xf numFmtId="0" fontId="18" fillId="24" borderId="3" xfId="0" applyFont="1" applyFill="1" applyBorder="1" applyAlignment="1">
      <alignment horizontal="left" vertical="center" wrapText="1"/>
    </xf>
    <xf numFmtId="0" fontId="3" fillId="24" borderId="3" xfId="0" applyFont="1" applyFill="1" applyBorder="1" applyAlignment="1">
      <alignment horizontal="left" vertical="center" wrapText="1"/>
    </xf>
    <xf numFmtId="0" fontId="18" fillId="24" borderId="3" xfId="0" applyFont="1" applyFill="1" applyBorder="1" applyAlignment="1">
      <alignment horizontal="center" vertical="center" wrapText="1"/>
    </xf>
    <xf numFmtId="0" fontId="18" fillId="25" borderId="3" xfId="0" applyFont="1" applyFill="1" applyBorder="1" applyAlignment="1">
      <alignment horizontal="left" vertical="center" wrapText="1"/>
    </xf>
    <xf numFmtId="0" fontId="3" fillId="25" borderId="3" xfId="0" applyFont="1" applyFill="1" applyBorder="1" applyAlignment="1">
      <alignment horizontal="left" vertical="center" wrapText="1"/>
    </xf>
    <xf numFmtId="0" fontId="18" fillId="25" borderId="3" xfId="0" applyFont="1" applyFill="1" applyBorder="1" applyAlignment="1">
      <alignment horizontal="center" vertical="center" wrapText="1"/>
    </xf>
    <xf numFmtId="0" fontId="2" fillId="26" borderId="3" xfId="0" applyFont="1" applyFill="1" applyBorder="1" applyAlignment="1">
      <alignment horizontal="left" vertical="center" wrapText="1"/>
    </xf>
    <xf numFmtId="0" fontId="2" fillId="12" borderId="3" xfId="0" applyFont="1" applyFill="1" applyBorder="1" applyAlignment="1">
      <alignment horizontal="left" vertical="center" wrapText="1"/>
    </xf>
    <xf numFmtId="0" fontId="18" fillId="27" borderId="3" xfId="0" applyFont="1" applyFill="1" applyBorder="1" applyAlignment="1">
      <alignment horizontal="left" vertical="center" wrapText="1"/>
    </xf>
    <xf numFmtId="0" fontId="3" fillId="27" borderId="3" xfId="0" applyFont="1" applyFill="1" applyBorder="1" applyAlignment="1">
      <alignment horizontal="left" vertical="center" wrapText="1"/>
    </xf>
    <xf numFmtId="0" fontId="18" fillId="27" borderId="3" xfId="0" applyFont="1" applyFill="1" applyBorder="1" applyAlignment="1">
      <alignment horizontal="center" vertical="center" wrapText="1"/>
    </xf>
    <xf numFmtId="0" fontId="18" fillId="16" borderId="3" xfId="0" applyFont="1" applyFill="1" applyBorder="1" applyAlignment="1">
      <alignment horizontal="left" vertical="center" wrapText="1"/>
    </xf>
    <xf numFmtId="0" fontId="18" fillId="16" borderId="3" xfId="0" applyFont="1" applyFill="1" applyBorder="1" applyAlignment="1">
      <alignment horizontal="center" vertical="center" wrapText="1"/>
    </xf>
    <xf numFmtId="0" fontId="30" fillId="19" borderId="0" xfId="0" applyFont="1" applyFill="1"/>
    <xf numFmtId="0" fontId="31" fillId="20" borderId="0" xfId="0" applyFont="1" applyFill="1"/>
    <xf numFmtId="0" fontId="31" fillId="19" borderId="0" xfId="0" applyFont="1" applyFill="1"/>
    <xf numFmtId="0" fontId="31" fillId="0" borderId="0" xfId="0" applyFont="1"/>
    <xf numFmtId="0" fontId="18" fillId="27" borderId="4" xfId="0" applyFont="1" applyFill="1" applyBorder="1" applyAlignment="1">
      <alignment horizontal="left" vertical="center" wrapText="1"/>
    </xf>
    <xf numFmtId="0" fontId="3" fillId="27" borderId="4" xfId="0" applyFont="1" applyFill="1" applyBorder="1" applyAlignment="1">
      <alignment horizontal="left" vertical="center" wrapText="1"/>
    </xf>
    <xf numFmtId="0" fontId="18" fillId="27" borderId="4" xfId="0" applyFont="1" applyFill="1" applyBorder="1" applyAlignment="1">
      <alignment horizontal="center" vertical="center" wrapText="1"/>
    </xf>
    <xf numFmtId="0" fontId="32" fillId="4" borderId="1" xfId="0" applyFont="1" applyFill="1" applyBorder="1" applyAlignment="1">
      <alignment vertical="top" wrapText="1"/>
    </xf>
    <xf numFmtId="0" fontId="33" fillId="9" borderId="5" xfId="0" applyFont="1" applyFill="1" applyBorder="1" applyAlignment="1">
      <alignment horizontal="center" vertical="center" wrapText="1"/>
    </xf>
    <xf numFmtId="0" fontId="34" fillId="0" borderId="0" xfId="0" applyFont="1"/>
    <xf numFmtId="0" fontId="19" fillId="4" borderId="0" xfId="0" applyFont="1" applyFill="1" applyAlignment="1">
      <alignment vertical="top" wrapText="1"/>
    </xf>
    <xf numFmtId="0" fontId="1" fillId="9" borderId="0" xfId="0" applyFont="1" applyFill="1" applyAlignment="1">
      <alignment horizontal="center" vertical="center" wrapText="1"/>
    </xf>
    <xf numFmtId="0" fontId="1" fillId="28" borderId="0" xfId="0" applyFont="1" applyFill="1" applyAlignment="1">
      <alignment horizontal="left" vertical="center" wrapText="1"/>
    </xf>
    <xf numFmtId="0" fontId="11" fillId="0" borderId="0" xfId="0" applyFont="1" applyAlignment="1">
      <alignment horizontal="left" vertical="top" wrapText="1"/>
    </xf>
    <xf numFmtId="0" fontId="11" fillId="29" borderId="0" xfId="0" applyFont="1" applyFill="1" applyAlignment="1">
      <alignment horizontal="left" vertical="top" wrapText="1"/>
    </xf>
    <xf numFmtId="0" fontId="35" fillId="0" borderId="0" xfId="0" applyFont="1"/>
    <xf numFmtId="0" fontId="13" fillId="28" borderId="1" xfId="0" applyFont="1" applyFill="1" applyBorder="1" applyAlignment="1">
      <alignment vertical="top" wrapText="1"/>
    </xf>
    <xf numFmtId="0" fontId="35" fillId="0" borderId="1" xfId="0" applyFont="1" applyBorder="1" applyAlignment="1">
      <alignment vertical="top" wrapText="1"/>
    </xf>
    <xf numFmtId="0" fontId="23" fillId="0" borderId="1" xfId="0" applyFont="1" applyBorder="1" applyAlignment="1">
      <alignment vertical="top" wrapText="1"/>
    </xf>
    <xf numFmtId="0" fontId="35" fillId="29" borderId="1" xfId="0" applyFont="1" applyFill="1" applyBorder="1" applyAlignment="1">
      <alignment vertical="top" wrapText="1"/>
    </xf>
    <xf numFmtId="0" fontId="23" fillId="29" borderId="1" xfId="0" applyFont="1" applyFill="1" applyBorder="1" applyAlignment="1">
      <alignment vertical="top" wrapText="1"/>
    </xf>
    <xf numFmtId="0" fontId="23" fillId="30" borderId="0" xfId="0" applyFont="1" applyFill="1"/>
    <xf numFmtId="0" fontId="36" fillId="30" borderId="0" xfId="0" applyFont="1" applyFill="1"/>
    <xf numFmtId="0" fontId="0" fillId="31" borderId="0" xfId="0" applyFill="1"/>
    <xf numFmtId="0" fontId="16" fillId="32" borderId="1" xfId="0" applyFont="1" applyFill="1" applyBorder="1" applyAlignment="1">
      <alignment horizontal="left" vertical="center" wrapText="1"/>
    </xf>
    <xf numFmtId="0" fontId="8" fillId="6" borderId="1" xfId="0" applyFont="1" applyFill="1" applyBorder="1" applyAlignment="1">
      <alignment vertical="top" wrapText="1"/>
    </xf>
    <xf numFmtId="0" fontId="16" fillId="33" borderId="1" xfId="0" applyFont="1" applyFill="1" applyBorder="1" applyAlignment="1">
      <alignment horizontal="left" vertical="center" wrapText="1"/>
    </xf>
    <xf numFmtId="0" fontId="16" fillId="34" borderId="1" xfId="0" applyFont="1" applyFill="1" applyBorder="1" applyAlignment="1">
      <alignment horizontal="left" vertical="center" wrapText="1"/>
    </xf>
    <xf numFmtId="0" fontId="16" fillId="35" borderId="1" xfId="0" applyFont="1" applyFill="1" applyBorder="1" applyAlignment="1">
      <alignment horizontal="left" vertical="center" wrapText="1"/>
    </xf>
    <xf numFmtId="0" fontId="0" fillId="0" borderId="1" xfId="0" applyFont="1" applyBorder="1" applyAlignment="1">
      <alignment vertical="top" wrapText="1"/>
    </xf>
    <xf numFmtId="0" fontId="16" fillId="36" borderId="1" xfId="0" applyFont="1" applyFill="1" applyBorder="1" applyAlignment="1">
      <alignment horizontal="left" vertical="center" wrapText="1"/>
    </xf>
    <xf numFmtId="0" fontId="0" fillId="6" borderId="1" xfId="0" applyFont="1" applyFill="1" applyBorder="1" applyAlignment="1">
      <alignment vertical="top" wrapText="1"/>
    </xf>
    <xf numFmtId="0" fontId="16" fillId="37" borderId="1" xfId="0" applyFont="1" applyFill="1" applyBorder="1" applyAlignment="1">
      <alignment horizontal="left" vertical="center" wrapText="1"/>
    </xf>
    <xf numFmtId="0" fontId="0" fillId="31" borderId="1" xfId="0" applyFill="1" applyBorder="1" applyAlignment="1">
      <alignment horizontal="left" vertical="center" wrapText="1"/>
    </xf>
    <xf numFmtId="0" fontId="23" fillId="31" borderId="1" xfId="0" applyFont="1" applyFill="1" applyBorder="1" applyAlignment="1">
      <alignment horizontal="left" vertical="center" wrapText="1"/>
    </xf>
    <xf numFmtId="0" fontId="23" fillId="31" borderId="1" xfId="0" applyFont="1" applyFill="1" applyBorder="1" applyAlignment="1">
      <alignment vertical="top" wrapText="1"/>
    </xf>
    <xf numFmtId="0" fontId="16" fillId="38" borderId="1" xfId="0" applyFont="1" applyFill="1" applyBorder="1" applyAlignment="1">
      <alignment horizontal="left" vertical="center" wrapText="1"/>
    </xf>
    <xf numFmtId="0" fontId="0" fillId="6" borderId="0" xfId="0" applyFill="1" applyAlignment="1">
      <alignment horizontal="left" vertical="center" wrapText="1"/>
    </xf>
    <xf numFmtId="0" fontId="16" fillId="0" borderId="0" xfId="0" applyFont="1"/>
    <xf numFmtId="0" fontId="23" fillId="0" borderId="0" xfId="0" applyFont="1"/>
    <xf numFmtId="0" fontId="37" fillId="31" borderId="0" xfId="0" applyFont="1" applyFill="1"/>
    <xf numFmtId="0" fontId="11" fillId="39" borderId="0" xfId="0" applyFont="1" applyFill="1" applyAlignment="1">
      <alignment horizontal="left" vertical="top" wrapText="1"/>
    </xf>
    <xf numFmtId="0" fontId="11" fillId="31" borderId="0" xfId="0" applyFont="1" applyFill="1" applyAlignment="1">
      <alignment horizontal="left" vertical="top" wrapText="1"/>
    </xf>
    <xf numFmtId="0" fontId="37" fillId="20" borderId="0" xfId="0" applyFont="1" applyFill="1"/>
    <xf numFmtId="0" fontId="37" fillId="0" borderId="0" xfId="0" applyFont="1"/>
    <xf numFmtId="0" fontId="0" fillId="39" borderId="0" xfId="0" applyFill="1"/>
    <xf numFmtId="0" fontId="38" fillId="2" borderId="0" xfId="0" applyFont="1" applyFill="1" applyAlignment="1">
      <alignment horizontal="center" vertical="center" wrapText="1"/>
    </xf>
    <xf numFmtId="0" fontId="39" fillId="18" borderId="0" xfId="0" applyFont="1" applyFill="1" applyAlignment="1">
      <alignment horizontal="left" vertical="center"/>
    </xf>
    <xf numFmtId="0" fontId="0" fillId="18" borderId="0" xfId="0" applyFill="1"/>
    <xf numFmtId="0" fontId="12" fillId="0" borderId="0" xfId="0" applyFont="1" applyAlignment="1">
      <alignment horizontal="center" vertical="center" wrapText="1"/>
    </xf>
    <xf numFmtId="0" fontId="40" fillId="0" borderId="0" xfId="0" applyFont="1" applyAlignment="1">
      <alignment horizontal="left" vertical="center" wrapText="1"/>
    </xf>
    <xf numFmtId="0" fontId="12" fillId="0" borderId="0" xfId="0" applyFont="1" applyAlignment="1">
      <alignment horizontal="left" vertical="center" wrapText="1"/>
    </xf>
    <xf numFmtId="0" fontId="39" fillId="40" borderId="0" xfId="0" applyFont="1" applyFill="1" applyAlignment="1">
      <alignment horizontal="left" vertical="center"/>
    </xf>
    <xf numFmtId="0" fontId="37" fillId="40" borderId="0" xfId="0" applyFont="1" applyFill="1"/>
    <xf numFmtId="0" fontId="0" fillId="40" borderId="0" xfId="0" applyFill="1"/>
    <xf numFmtId="0" fontId="12" fillId="19" borderId="0" xfId="0" applyFont="1" applyFill="1" applyAlignment="1">
      <alignment horizontal="center" vertical="center" wrapText="1"/>
    </xf>
    <xf numFmtId="0" fontId="40" fillId="19" borderId="0" xfId="0" applyFont="1" applyFill="1" applyAlignment="1">
      <alignment horizontal="left" vertical="center" wrapText="1"/>
    </xf>
    <xf numFmtId="0" fontId="12" fillId="19" borderId="0" xfId="0" applyFont="1" applyFill="1" applyAlignment="1">
      <alignment horizontal="left" vertical="center" wrapText="1"/>
    </xf>
    <xf numFmtId="0" fontId="12" fillId="39" borderId="0" xfId="0" applyFont="1" applyFill="1" applyAlignment="1">
      <alignment horizontal="center" vertical="center" wrapText="1"/>
    </xf>
    <xf numFmtId="0" fontId="40" fillId="39" borderId="0" xfId="0" applyFont="1" applyFill="1" applyAlignment="1">
      <alignment horizontal="left" vertical="center" wrapText="1"/>
    </xf>
    <xf numFmtId="0" fontId="12" fillId="39" borderId="0" xfId="0" applyFont="1" applyFill="1" applyAlignment="1">
      <alignment horizontal="left" vertical="center" wrapText="1"/>
    </xf>
    <xf numFmtId="0" fontId="39" fillId="0" borderId="0" xfId="0" applyFont="1"/>
    <xf numFmtId="0" fontId="41" fillId="0" borderId="0" xfId="0" applyFont="1" applyAlignment="1">
      <alignment horizontal="center"/>
    </xf>
    <xf numFmtId="0" fontId="40" fillId="0" borderId="0" xfId="0" applyFont="1" applyAlignment="1">
      <alignment horizontal="center" vertical="center" wrapText="1"/>
    </xf>
    <xf numFmtId="0" fontId="40" fillId="8" borderId="0" xfId="0" applyFont="1" applyFill="1" applyAlignment="1">
      <alignment horizontal="center" vertical="center" wrapText="1"/>
    </xf>
    <xf numFmtId="0" fontId="40" fillId="19" borderId="0" xfId="0" applyFont="1" applyFill="1" applyAlignment="1">
      <alignment horizontal="center" vertical="center" wrapText="1"/>
    </xf>
    <xf numFmtId="0" fontId="40" fillId="39" borderId="0" xfId="0" applyFont="1" applyFill="1" applyAlignment="1">
      <alignment horizontal="center" vertical="center" wrapText="1"/>
    </xf>
    <xf numFmtId="0" fontId="13" fillId="9" borderId="2" xfId="0" applyFont="1" applyFill="1" applyBorder="1" applyAlignment="1">
      <alignment horizontal="center" vertical="center" wrapText="1"/>
    </xf>
    <xf numFmtId="0" fontId="42" fillId="12" borderId="2" xfId="0" applyFont="1" applyFill="1" applyBorder="1" applyAlignment="1">
      <alignment horizontal="left" vertical="center" wrapText="1"/>
    </xf>
    <xf numFmtId="0" fontId="43" fillId="12" borderId="2" xfId="0" applyFont="1" applyFill="1" applyBorder="1" applyAlignment="1">
      <alignment horizontal="left" vertical="center" wrapText="1"/>
    </xf>
    <xf numFmtId="0" fontId="44" fillId="24" borderId="2" xfId="0" applyFont="1" applyFill="1" applyBorder="1" applyAlignment="1">
      <alignment horizontal="left" vertical="center" wrapText="1"/>
    </xf>
    <xf numFmtId="0" fontId="27" fillId="24" borderId="2" xfId="0" applyFont="1" applyFill="1" applyBorder="1" applyAlignment="1">
      <alignment horizontal="left" vertical="center" wrapText="1"/>
    </xf>
    <xf numFmtId="0" fontId="44" fillId="24" borderId="2" xfId="0" applyFont="1" applyFill="1" applyBorder="1" applyAlignment="1">
      <alignment horizontal="center" vertical="center" wrapText="1"/>
    </xf>
    <xf numFmtId="0" fontId="27" fillId="22" borderId="2" xfId="0" applyFont="1" applyFill="1" applyBorder="1" applyAlignment="1">
      <alignment horizontal="left" vertical="center" wrapText="1"/>
    </xf>
    <xf numFmtId="0" fontId="44" fillId="22" borderId="2" xfId="0" applyFont="1" applyFill="1" applyBorder="1" applyAlignment="1">
      <alignment horizontal="center" vertical="center" wrapText="1"/>
    </xf>
    <xf numFmtId="0" fontId="27" fillId="27" borderId="2" xfId="0" applyFont="1" applyFill="1" applyBorder="1" applyAlignment="1">
      <alignment horizontal="left" vertical="center" wrapText="1"/>
    </xf>
    <xf numFmtId="0" fontId="44" fillId="27" borderId="2" xfId="0" applyFont="1" applyFill="1" applyBorder="1" applyAlignment="1">
      <alignment horizontal="center" vertical="center" wrapText="1"/>
    </xf>
    <xf numFmtId="0" fontId="44" fillId="27" borderId="2" xfId="0" applyFont="1" applyFill="1" applyBorder="1" applyAlignment="1">
      <alignment horizontal="left" vertical="center" wrapText="1"/>
    </xf>
    <xf numFmtId="0" fontId="7" fillId="4" borderId="0" xfId="0" applyFont="1" applyFill="1" applyAlignment="1">
      <alignment vertical="top" wrapText="1"/>
    </xf>
    <xf numFmtId="0" fontId="0" fillId="4" borderId="0" xfId="0" applyFill="1" applyAlignment="1">
      <alignment vertical="top" wrapText="1"/>
    </xf>
    <xf numFmtId="0" fontId="8" fillId="4" borderId="0" xfId="0" applyFont="1" applyFill="1" applyAlignment="1">
      <alignment vertical="top" wrapText="1"/>
    </xf>
    <xf numFmtId="0" fontId="45" fillId="11" borderId="2" xfId="0" applyFont="1" applyFill="1" applyBorder="1" applyAlignment="1">
      <alignment horizontal="center" vertical="center"/>
    </xf>
    <xf numFmtId="0" fontId="46" fillId="11" borderId="2" xfId="0" applyFont="1" applyFill="1" applyBorder="1" applyAlignment="1">
      <alignment horizontal="left" vertical="center" wrapText="1"/>
    </xf>
    <xf numFmtId="0" fontId="47" fillId="11" borderId="2" xfId="0" applyFont="1" applyFill="1" applyBorder="1" applyAlignment="1">
      <alignment horizontal="center" vertical="center"/>
    </xf>
    <xf numFmtId="0" fontId="40" fillId="41" borderId="0" xfId="0" applyFont="1" applyFill="1" applyAlignment="1">
      <alignment horizontal="center" vertical="center" wrapText="1"/>
    </xf>
    <xf numFmtId="0" fontId="27" fillId="19" borderId="2" xfId="0" applyFont="1" applyFill="1" applyBorder="1" applyAlignment="1">
      <alignment horizontal="left" vertical="center" wrapText="1"/>
    </xf>
    <xf numFmtId="0" fontId="44" fillId="22" borderId="2" xfId="0" applyFont="1" applyFill="1" applyBorder="1" applyAlignment="1">
      <alignment horizontal="left" vertical="center" wrapText="1"/>
    </xf>
    <xf numFmtId="0" fontId="27" fillId="20" borderId="2" xfId="0" applyFont="1" applyFill="1" applyBorder="1" applyAlignment="1">
      <alignment horizontal="left" vertical="center" wrapText="1"/>
    </xf>
    <xf numFmtId="0" fontId="27" fillId="0" borderId="2" xfId="0" applyFont="1" applyBorder="1" applyAlignment="1">
      <alignment horizontal="left" vertical="center" wrapText="1"/>
    </xf>
    <xf numFmtId="0" fontId="37" fillId="19" borderId="0" xfId="0" applyFont="1" applyFill="1"/>
    <xf numFmtId="0" fontId="13" fillId="9" borderId="6" xfId="0" applyFont="1" applyFill="1" applyBorder="1" applyAlignment="1">
      <alignment horizontal="center" vertical="center" wrapText="1"/>
    </xf>
    <xf numFmtId="0" fontId="48" fillId="12" borderId="6" xfId="0" applyFont="1" applyFill="1" applyBorder="1" applyAlignment="1">
      <alignment horizontal="center" vertical="center" wrapText="1"/>
    </xf>
    <xf numFmtId="0" fontId="49" fillId="12" borderId="6" xfId="0" applyFont="1" applyFill="1" applyBorder="1" applyAlignment="1">
      <alignment vertical="center" wrapText="1"/>
    </xf>
    <xf numFmtId="0" fontId="27" fillId="27" borderId="6" xfId="0" applyFont="1" applyFill="1" applyBorder="1" applyAlignment="1">
      <alignment horizontal="center" vertical="center" wrapText="1"/>
    </xf>
    <xf numFmtId="0" fontId="27" fillId="42" borderId="6" xfId="0" applyFont="1" applyFill="1" applyBorder="1" applyAlignment="1">
      <alignment horizontal="left" vertical="top" wrapText="1"/>
    </xf>
    <xf numFmtId="0" fontId="27" fillId="27" borderId="6" xfId="0" applyFont="1" applyFill="1" applyBorder="1" applyAlignment="1">
      <alignment horizontal="left" vertical="top" wrapText="1"/>
    </xf>
    <xf numFmtId="0" fontId="48" fillId="21" borderId="6" xfId="0" applyFont="1" applyFill="1" applyBorder="1" applyAlignment="1">
      <alignment horizontal="center" vertical="center" wrapText="1"/>
    </xf>
    <xf numFmtId="0" fontId="50" fillId="21" borderId="6" xfId="0" applyFont="1" applyFill="1" applyBorder="1" applyAlignment="1">
      <alignment vertical="center" wrapText="1"/>
    </xf>
    <xf numFmtId="0" fontId="49" fillId="21" borderId="6" xfId="0" applyFont="1" applyFill="1" applyBorder="1" applyAlignment="1">
      <alignment vertical="center" wrapText="1"/>
    </xf>
    <xf numFmtId="0" fontId="27" fillId="24" borderId="6" xfId="0" applyFont="1" applyFill="1" applyBorder="1" applyAlignment="1">
      <alignment horizontal="center" vertical="center" wrapText="1"/>
    </xf>
    <xf numFmtId="0" fontId="27" fillId="24" borderId="6" xfId="0" applyFont="1" applyFill="1" applyBorder="1" applyAlignment="1">
      <alignment horizontal="left" vertical="top" wrapText="1"/>
    </xf>
    <xf numFmtId="0" fontId="51" fillId="24" borderId="6" xfId="0" applyFont="1" applyFill="1" applyBorder="1" applyAlignment="1">
      <alignment horizontal="left" vertical="top" wrapText="1"/>
    </xf>
    <xf numFmtId="0" fontId="49" fillId="12" borderId="6" xfId="0" applyFont="1" applyFill="1" applyBorder="1" applyAlignment="1">
      <alignment horizontal="center" vertical="center" wrapText="1"/>
    </xf>
    <xf numFmtId="0" fontId="51" fillId="27" borderId="6" xfId="0" applyFont="1" applyFill="1" applyBorder="1" applyAlignment="1">
      <alignment horizontal="left" vertical="top" wrapText="1"/>
    </xf>
    <xf numFmtId="0" fontId="26" fillId="11" borderId="6" xfId="0" applyFont="1" applyFill="1" applyBorder="1" applyAlignment="1">
      <alignment horizontal="center" vertical="center" wrapText="1"/>
    </xf>
    <xf numFmtId="0" fontId="52" fillId="43" borderId="0" xfId="0" applyFont="1" applyFill="1" applyBorder="1" applyAlignment="1">
      <alignment horizontal="center" vertical="center" wrapText="1"/>
    </xf>
    <xf numFmtId="0" fontId="53" fillId="44" borderId="0" xfId="0" applyFont="1" applyFill="1" applyBorder="1" applyAlignment="1">
      <alignment horizontal="left" vertical="center" wrapText="1"/>
    </xf>
    <xf numFmtId="0" fontId="54" fillId="17" borderId="6"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3" fillId="43" borderId="6" xfId="0" applyFont="1" applyFill="1" applyBorder="1" applyAlignment="1">
      <alignment horizontal="left" vertical="center" wrapText="1"/>
    </xf>
    <xf numFmtId="0" fontId="55" fillId="44" borderId="6" xfId="0" applyFont="1" applyFill="1" applyBorder="1" applyAlignment="1">
      <alignment horizontal="center" vertical="center"/>
    </xf>
    <xf numFmtId="0" fontId="56" fillId="44" borderId="6" xfId="0" applyFont="1" applyFill="1" applyBorder="1" applyAlignment="1">
      <alignment horizontal="center" vertical="center" wrapText="1"/>
    </xf>
    <xf numFmtId="0" fontId="57" fillId="44" borderId="6" xfId="0" applyFont="1" applyFill="1" applyBorder="1" applyAlignment="1">
      <alignment horizontal="left" vertical="center" wrapText="1"/>
    </xf>
    <xf numFmtId="0" fontId="58" fillId="44" borderId="6" xfId="0" applyFont="1" applyFill="1" applyBorder="1" applyAlignment="1">
      <alignment horizontal="left" vertical="top" wrapText="1"/>
    </xf>
    <xf numFmtId="0" fontId="56" fillId="44" borderId="6" xfId="0" applyFont="1" applyFill="1" applyBorder="1" applyAlignment="1">
      <alignment horizontal="left" vertical="center" wrapText="1"/>
    </xf>
    <xf numFmtId="0" fontId="1" fillId="43" borderId="6" xfId="0" applyFont="1" applyFill="1" applyBorder="1" applyAlignment="1">
      <alignment horizontal="right" vertical="center"/>
    </xf>
    <xf numFmtId="0" fontId="13" fillId="45" borderId="6" xfId="0" applyFont="1" applyFill="1" applyBorder="1" applyAlignment="1">
      <alignment horizontal="left" vertical="center" wrapText="1"/>
    </xf>
    <xf numFmtId="0" fontId="55" fillId="46" borderId="6" xfId="0" applyFont="1" applyFill="1" applyBorder="1" applyAlignment="1">
      <alignment horizontal="center" vertical="center"/>
    </xf>
    <xf numFmtId="0" fontId="56" fillId="46" borderId="6" xfId="0" applyFont="1" applyFill="1" applyBorder="1" applyAlignment="1">
      <alignment horizontal="center" vertical="center" wrapText="1"/>
    </xf>
    <xf numFmtId="0" fontId="56" fillId="46" borderId="6" xfId="0" applyFont="1" applyFill="1" applyBorder="1" applyAlignment="1">
      <alignment horizontal="left" vertical="center" wrapText="1"/>
    </xf>
    <xf numFmtId="0" fontId="58" fillId="46" borderId="6" xfId="0" applyFont="1" applyFill="1" applyBorder="1" applyAlignment="1">
      <alignment horizontal="left" vertical="top" wrapText="1"/>
    </xf>
    <xf numFmtId="0" fontId="1" fillId="45" borderId="6" xfId="0" applyFont="1" applyFill="1" applyBorder="1" applyAlignment="1">
      <alignment horizontal="right" vertical="center"/>
    </xf>
    <xf numFmtId="0" fontId="13" fillId="47" borderId="6" xfId="0" applyFont="1" applyFill="1" applyBorder="1" applyAlignment="1">
      <alignment horizontal="left" vertical="center" wrapText="1"/>
    </xf>
    <xf numFmtId="0" fontId="55" fillId="48" borderId="6" xfId="0" applyFont="1" applyFill="1" applyBorder="1" applyAlignment="1">
      <alignment horizontal="center" vertical="center"/>
    </xf>
    <xf numFmtId="0" fontId="56" fillId="48" borderId="6" xfId="0" applyFont="1" applyFill="1" applyBorder="1" applyAlignment="1">
      <alignment horizontal="center" vertical="center" wrapText="1"/>
    </xf>
    <xf numFmtId="0" fontId="56" fillId="48" borderId="6" xfId="0" applyFont="1" applyFill="1" applyBorder="1" applyAlignment="1">
      <alignment horizontal="left" vertical="center" wrapText="1"/>
    </xf>
    <xf numFmtId="0" fontId="58" fillId="48" borderId="6" xfId="0" applyFont="1" applyFill="1" applyBorder="1" applyAlignment="1">
      <alignment horizontal="left" vertical="top" wrapText="1"/>
    </xf>
    <xf numFmtId="0" fontId="57" fillId="48" borderId="6" xfId="0" applyFont="1" applyFill="1" applyBorder="1" applyAlignment="1">
      <alignment horizontal="left" vertical="center" wrapText="1"/>
    </xf>
    <xf numFmtId="0" fontId="1" fillId="47" borderId="6" xfId="0" applyFont="1" applyFill="1" applyBorder="1" applyAlignment="1">
      <alignment horizontal="right" vertical="center"/>
    </xf>
    <xf numFmtId="0" fontId="0" fillId="0" borderId="0" xfId="0" applyBorder="1"/>
    <xf numFmtId="0" fontId="33" fillId="17" borderId="0" xfId="0" applyFont="1" applyFill="1"/>
    <xf numFmtId="0" fontId="28" fillId="0" borderId="0" xfId="0" applyFont="1" applyBorder="1"/>
    <xf numFmtId="0" fontId="45" fillId="49" borderId="0" xfId="0" applyFont="1" applyFill="1" applyBorder="1"/>
    <xf numFmtId="0" fontId="28" fillId="0" borderId="0" xfId="0" applyFont="1"/>
    <xf numFmtId="0" fontId="8" fillId="0" borderId="0" xfId="0" applyFont="1" applyAlignment="1">
      <alignment wrapText="1"/>
    </xf>
    <xf numFmtId="0" fontId="45" fillId="49" borderId="0" xfId="0" applyFont="1" applyFill="1"/>
    <xf numFmtId="0" fontId="59" fillId="44" borderId="6" xfId="0" applyFont="1" applyFill="1" applyBorder="1" applyAlignment="1">
      <alignment horizontal="center" vertical="center" wrapText="1"/>
    </xf>
    <xf numFmtId="176" fontId="60" fillId="0" borderId="6" xfId="0" applyNumberFormat="1" applyFont="1" applyBorder="1" applyAlignment="1">
      <alignment horizontal="center" vertical="center"/>
    </xf>
    <xf numFmtId="176" fontId="60" fillId="44" borderId="6" xfId="0" applyNumberFormat="1" applyFont="1" applyFill="1" applyBorder="1" applyAlignment="1">
      <alignment horizontal="center" vertical="center"/>
    </xf>
    <xf numFmtId="176" fontId="57" fillId="44" borderId="6" xfId="0" applyNumberFormat="1" applyFont="1" applyFill="1" applyBorder="1" applyAlignment="1">
      <alignment horizontal="center" vertical="center"/>
    </xf>
    <xf numFmtId="176" fontId="54" fillId="43" borderId="6" xfId="0" applyNumberFormat="1" applyFont="1" applyFill="1" applyBorder="1" applyAlignment="1">
      <alignment horizontal="center" vertical="center"/>
    </xf>
    <xf numFmtId="0" fontId="59" fillId="46" borderId="6" xfId="0" applyFont="1" applyFill="1" applyBorder="1" applyAlignment="1">
      <alignment horizontal="center" vertical="center" wrapText="1"/>
    </xf>
    <xf numFmtId="176" fontId="60" fillId="46" borderId="6" xfId="0" applyNumberFormat="1" applyFont="1" applyFill="1" applyBorder="1" applyAlignment="1">
      <alignment horizontal="center" vertical="center"/>
    </xf>
    <xf numFmtId="176" fontId="57" fillId="46" borderId="6" xfId="0" applyNumberFormat="1" applyFont="1" applyFill="1" applyBorder="1" applyAlignment="1">
      <alignment horizontal="center" vertical="center"/>
    </xf>
    <xf numFmtId="176" fontId="54" fillId="45" borderId="6" xfId="0" applyNumberFormat="1" applyFont="1" applyFill="1" applyBorder="1" applyAlignment="1">
      <alignment horizontal="center" vertical="center"/>
    </xf>
    <xf numFmtId="0" fontId="59" fillId="48" borderId="6" xfId="0" applyFont="1" applyFill="1" applyBorder="1" applyAlignment="1">
      <alignment horizontal="center" vertical="center" wrapText="1"/>
    </xf>
    <xf numFmtId="176" fontId="60" fillId="48" borderId="6" xfId="0" applyNumberFormat="1" applyFont="1" applyFill="1" applyBorder="1" applyAlignment="1">
      <alignment horizontal="center" vertical="center"/>
    </xf>
    <xf numFmtId="176" fontId="57" fillId="48" borderId="6" xfId="0" applyNumberFormat="1" applyFont="1" applyFill="1" applyBorder="1" applyAlignment="1">
      <alignment horizontal="center" vertical="center"/>
    </xf>
    <xf numFmtId="176" fontId="54" fillId="47" borderId="6" xfId="0" applyNumberFormat="1" applyFont="1" applyFill="1" applyBorder="1" applyAlignment="1">
      <alignment horizontal="center" vertical="center"/>
    </xf>
    <xf numFmtId="0" fontId="58" fillId="44" borderId="6" xfId="0" applyFont="1" applyFill="1" applyBorder="1" applyAlignment="1">
      <alignment horizontal="center" vertical="center" wrapText="1"/>
    </xf>
    <xf numFmtId="0" fontId="61" fillId="44" borderId="6" xfId="0" applyFont="1" applyFill="1" applyBorder="1" applyAlignment="1">
      <alignment horizontal="left" vertical="top" wrapText="1"/>
    </xf>
    <xf numFmtId="0" fontId="62" fillId="50" borderId="6" xfId="0" applyFont="1" applyFill="1" applyBorder="1" applyAlignment="1">
      <alignment horizontal="center" vertical="center"/>
    </xf>
    <xf numFmtId="0" fontId="63" fillId="44" borderId="6" xfId="0" applyFont="1" applyFill="1" applyBorder="1" applyAlignment="1">
      <alignment horizontal="left" vertical="top" wrapText="1"/>
    </xf>
    <xf numFmtId="0" fontId="62" fillId="51" borderId="6" xfId="0" applyFont="1" applyFill="1" applyBorder="1" applyAlignment="1">
      <alignment horizontal="center" vertical="center"/>
    </xf>
    <xf numFmtId="0" fontId="0" fillId="43" borderId="6" xfId="0" applyFill="1" applyBorder="1"/>
    <xf numFmtId="0" fontId="58" fillId="46" borderId="6" xfId="0" applyFont="1" applyFill="1" applyBorder="1" applyAlignment="1">
      <alignment horizontal="center" vertical="center" wrapText="1"/>
    </xf>
    <xf numFmtId="0" fontId="63" fillId="46" borderId="6" xfId="0" applyFont="1" applyFill="1" applyBorder="1" applyAlignment="1">
      <alignment horizontal="left" vertical="top" wrapText="1"/>
    </xf>
    <xf numFmtId="0" fontId="61" fillId="46" borderId="6" xfId="0" applyFont="1" applyFill="1" applyBorder="1" applyAlignment="1">
      <alignment horizontal="left" vertical="top" wrapText="1"/>
    </xf>
    <xf numFmtId="0" fontId="0" fillId="45" borderId="6" xfId="0" applyFill="1" applyBorder="1"/>
    <xf numFmtId="0" fontId="58" fillId="48" borderId="6" xfId="0" applyFont="1" applyFill="1" applyBorder="1" applyAlignment="1">
      <alignment horizontal="center" vertical="center" wrapText="1"/>
    </xf>
    <xf numFmtId="0" fontId="63" fillId="48" borderId="6" xfId="0" applyFont="1" applyFill="1" applyBorder="1" applyAlignment="1">
      <alignment horizontal="left" vertical="top" wrapText="1"/>
    </xf>
    <xf numFmtId="0" fontId="61" fillId="48" borderId="6" xfId="0" applyFont="1" applyFill="1" applyBorder="1" applyAlignment="1">
      <alignment horizontal="left" vertical="top" wrapText="1"/>
    </xf>
    <xf numFmtId="0" fontId="0" fillId="47" borderId="6" xfId="0" applyFill="1" applyBorder="1"/>
    <xf numFmtId="0" fontId="8" fillId="42" borderId="0" xfId="0" applyFont="1" applyFill="1" applyAlignment="1">
      <alignment wrapText="1"/>
    </xf>
    <xf numFmtId="0" fontId="64" fillId="52" borderId="6" xfId="0" applyFont="1" applyFill="1" applyBorder="1" applyAlignment="1">
      <alignment horizontal="right" vertical="center"/>
    </xf>
    <xf numFmtId="0" fontId="0" fillId="0" borderId="7" xfId="0" applyBorder="1"/>
    <xf numFmtId="0" fontId="65" fillId="44" borderId="0" xfId="0" applyFont="1" applyFill="1" applyAlignment="1">
      <alignment horizontal="left" vertical="center"/>
    </xf>
    <xf numFmtId="0" fontId="66" fillId="53" borderId="8" xfId="0" applyFont="1" applyFill="1" applyBorder="1" applyAlignment="1">
      <alignment horizontal="left" vertical="center" wrapText="1"/>
    </xf>
    <xf numFmtId="0" fontId="67" fillId="53" borderId="8" xfId="0" applyFont="1" applyFill="1" applyBorder="1" applyAlignment="1">
      <alignment horizontal="left" vertical="center" wrapText="1"/>
    </xf>
    <xf numFmtId="0" fontId="0" fillId="0" borderId="9" xfId="0" applyBorder="1"/>
    <xf numFmtId="176" fontId="68" fillId="52" borderId="6" xfId="0" applyNumberFormat="1" applyFont="1" applyFill="1" applyBorder="1" applyAlignment="1">
      <alignment horizontal="center" vertical="center"/>
    </xf>
    <xf numFmtId="0" fontId="69" fillId="52" borderId="6" xfId="0" applyFont="1" applyFill="1" applyBorder="1" applyAlignment="1">
      <alignment horizontal="center" vertical="center"/>
    </xf>
    <xf numFmtId="0" fontId="0" fillId="52" borderId="6" xfId="0" applyFill="1" applyBorder="1"/>
    <xf numFmtId="0" fontId="27" fillId="4" borderId="0" xfId="0" applyFont="1" applyFill="1" applyAlignment="1">
      <alignment horizontal="center" vertical="center" wrapText="1"/>
    </xf>
    <xf numFmtId="0" fontId="51" fillId="4" borderId="0" xfId="0" applyFont="1" applyFill="1" applyAlignment="1">
      <alignment horizontal="left" vertical="center" wrapText="1"/>
    </xf>
    <xf numFmtId="176" fontId="51" fillId="4" borderId="0" xfId="0" applyNumberFormat="1" applyFont="1" applyFill="1" applyAlignment="1">
      <alignment horizontal="center" vertical="center" wrapText="1"/>
    </xf>
    <xf numFmtId="0" fontId="27" fillId="54" borderId="0" xfId="0" applyFont="1" applyFill="1" applyAlignment="1">
      <alignment horizontal="center" vertical="center" wrapText="1"/>
    </xf>
    <xf numFmtId="0" fontId="27" fillId="54" borderId="0" xfId="0" applyFont="1" applyFill="1" applyAlignment="1">
      <alignment horizontal="left" vertical="center" wrapText="1"/>
    </xf>
    <xf numFmtId="176" fontId="27" fillId="54" borderId="0" xfId="0" applyNumberFormat="1" applyFont="1" applyFill="1" applyAlignment="1">
      <alignment horizontal="center" vertical="center" wrapText="1"/>
    </xf>
    <xf numFmtId="0" fontId="46" fillId="54" borderId="0" xfId="0" applyFont="1" applyFill="1" applyAlignment="1">
      <alignment horizontal="center" vertical="center" wrapText="1"/>
    </xf>
    <xf numFmtId="0" fontId="27" fillId="55" borderId="0" xfId="0" applyFont="1" applyFill="1" applyAlignment="1">
      <alignment horizontal="center" vertical="center" wrapText="1"/>
    </xf>
    <xf numFmtId="0" fontId="46" fillId="55" borderId="0" xfId="0" applyFont="1" applyFill="1" applyAlignment="1">
      <alignment horizontal="center" vertical="center" wrapText="1"/>
    </xf>
    <xf numFmtId="0" fontId="27" fillId="55" borderId="0" xfId="0" applyFont="1" applyFill="1" applyAlignment="1">
      <alignment horizontal="left" vertical="center" wrapText="1"/>
    </xf>
    <xf numFmtId="176" fontId="27" fillId="55" borderId="0" xfId="0" applyNumberFormat="1" applyFont="1" applyFill="1" applyAlignment="1">
      <alignment horizontal="center" vertical="center" wrapText="1"/>
    </xf>
    <xf numFmtId="0" fontId="27" fillId="56" borderId="0" xfId="0" applyFont="1" applyFill="1" applyAlignment="1">
      <alignment horizontal="center" vertical="center" wrapText="1"/>
    </xf>
    <xf numFmtId="0" fontId="27" fillId="56" borderId="0" xfId="0" applyFont="1" applyFill="1" applyAlignment="1">
      <alignment horizontal="left" vertical="center" wrapText="1"/>
    </xf>
    <xf numFmtId="176" fontId="27" fillId="56" borderId="0" xfId="0" applyNumberFormat="1" applyFont="1" applyFill="1" applyAlignment="1">
      <alignment horizontal="center" vertical="center" wrapText="1"/>
    </xf>
    <xf numFmtId="0" fontId="27" fillId="57" borderId="0" xfId="0" applyFont="1" applyFill="1" applyAlignment="1">
      <alignment horizontal="center" vertical="center" wrapText="1"/>
    </xf>
    <xf numFmtId="0" fontId="27" fillId="57" borderId="0" xfId="0" applyFont="1" applyFill="1" applyAlignment="1">
      <alignment horizontal="left" vertical="center" wrapText="1"/>
    </xf>
    <xf numFmtId="176" fontId="27" fillId="57" borderId="0" xfId="0" applyNumberFormat="1" applyFont="1" applyFill="1" applyAlignment="1">
      <alignment horizontal="center" vertical="center" wrapText="1"/>
    </xf>
    <xf numFmtId="0" fontId="27" fillId="58" borderId="0" xfId="0" applyFont="1" applyFill="1" applyAlignment="1">
      <alignment horizontal="center" vertical="center" wrapText="1"/>
    </xf>
    <xf numFmtId="0" fontId="27" fillId="58" borderId="0" xfId="0" applyFont="1" applyFill="1" applyAlignment="1">
      <alignment horizontal="left" vertical="center" wrapText="1"/>
    </xf>
    <xf numFmtId="176" fontId="27" fillId="58" borderId="0" xfId="0" applyNumberFormat="1" applyFont="1" applyFill="1" applyAlignment="1">
      <alignment horizontal="center" vertical="center" wrapText="1"/>
    </xf>
    <xf numFmtId="0" fontId="27" fillId="8" borderId="0" xfId="0" applyFont="1" applyFill="1" applyAlignment="1">
      <alignment horizontal="center" vertical="center" wrapText="1"/>
    </xf>
    <xf numFmtId="0" fontId="27" fillId="8" borderId="0" xfId="0" applyFont="1" applyFill="1" applyAlignment="1">
      <alignment horizontal="left" vertical="center" wrapText="1"/>
    </xf>
    <xf numFmtId="176" fontId="27" fillId="8" borderId="0" xfId="0" applyNumberFormat="1" applyFont="1" applyFill="1" applyAlignment="1">
      <alignment horizontal="center" vertical="center" wrapText="1"/>
    </xf>
    <xf numFmtId="0" fontId="46" fillId="8" borderId="0" xfId="0" applyFont="1" applyFill="1" applyAlignment="1">
      <alignment horizontal="center" vertical="center" wrapText="1"/>
    </xf>
    <xf numFmtId="0" fontId="27" fillId="59" borderId="0" xfId="0" applyFont="1" applyFill="1" applyAlignment="1">
      <alignment horizontal="center" vertical="center" wrapText="1"/>
    </xf>
    <xf numFmtId="0" fontId="46" fillId="59" borderId="0" xfId="0" applyFont="1" applyFill="1" applyAlignment="1">
      <alignment horizontal="center" vertical="center" wrapText="1"/>
    </xf>
    <xf numFmtId="0" fontId="70" fillId="59" borderId="0" xfId="0" applyFont="1" applyFill="1" applyAlignment="1">
      <alignment horizontal="left" vertical="center"/>
    </xf>
    <xf numFmtId="0" fontId="71" fillId="59" borderId="0" xfId="0" applyFont="1" applyFill="1" applyAlignment="1">
      <alignment horizontal="center" vertical="center"/>
    </xf>
    <xf numFmtId="0" fontId="27" fillId="60" borderId="0" xfId="0" applyFont="1" applyFill="1" applyAlignment="1">
      <alignment horizontal="center" vertical="center" wrapText="1"/>
    </xf>
    <xf numFmtId="0" fontId="46" fillId="60" borderId="0" xfId="0" applyFont="1" applyFill="1" applyAlignment="1">
      <alignment horizontal="center" vertical="center" wrapText="1"/>
    </xf>
    <xf numFmtId="0" fontId="70" fillId="60" borderId="0" xfId="0" applyFont="1" applyFill="1" applyAlignment="1">
      <alignment horizontal="left" vertical="center"/>
    </xf>
    <xf numFmtId="0" fontId="71" fillId="60" borderId="0" xfId="0" applyFont="1" applyFill="1" applyAlignment="1">
      <alignment horizontal="center" vertical="center"/>
    </xf>
    <xf numFmtId="0" fontId="27" fillId="60" borderId="0" xfId="0" applyFont="1" applyFill="1" applyAlignment="1">
      <alignment horizontal="left" vertical="center" wrapText="1"/>
    </xf>
    <xf numFmtId="0" fontId="42" fillId="8" borderId="0" xfId="0" applyFont="1" applyFill="1" applyAlignment="1">
      <alignment horizontal="center" vertical="center" wrapText="1"/>
    </xf>
    <xf numFmtId="0" fontId="26" fillId="11" borderId="0" xfId="0" applyFont="1" applyFill="1" applyAlignment="1">
      <alignment horizontal="center" vertical="center" wrapText="1"/>
    </xf>
    <xf numFmtId="0" fontId="71" fillId="0" borderId="0" xfId="0" applyFont="1"/>
    <xf numFmtId="0" fontId="68" fillId="11" borderId="0" xfId="0" applyFont="1" applyFill="1" applyAlignment="1">
      <alignment horizontal="center" vertical="center" wrapText="1"/>
    </xf>
    <xf numFmtId="0" fontId="26" fillId="16" borderId="10" xfId="0" applyFont="1" applyFill="1" applyBorder="1" applyAlignment="1">
      <alignment horizontal="center" vertical="center" wrapText="1"/>
    </xf>
    <xf numFmtId="0" fontId="27" fillId="16" borderId="10" xfId="0" applyFont="1" applyFill="1" applyBorder="1" applyAlignment="1">
      <alignment horizontal="center" vertical="center" wrapText="1"/>
    </xf>
    <xf numFmtId="0" fontId="71" fillId="0" borderId="11" xfId="0" applyFont="1" applyBorder="1"/>
    <xf numFmtId="0" fontId="71" fillId="0" borderId="11" xfId="0" applyFont="1" applyBorder="1" applyAlignment="1">
      <alignment horizontal="center"/>
    </xf>
    <xf numFmtId="0" fontId="26" fillId="16" borderId="6" xfId="0" applyFont="1" applyFill="1" applyBorder="1" applyAlignment="1">
      <alignment horizontal="center" vertical="center" wrapText="1"/>
    </xf>
    <xf numFmtId="0" fontId="27" fillId="16" borderId="6" xfId="0" applyFont="1" applyFill="1" applyBorder="1" applyAlignment="1">
      <alignment horizontal="center" vertical="center" wrapText="1"/>
    </xf>
    <xf numFmtId="0" fontId="71" fillId="0" borderId="7" xfId="0" applyFont="1" applyBorder="1"/>
    <xf numFmtId="0" fontId="71" fillId="0" borderId="7" xfId="0" applyFont="1" applyBorder="1" applyAlignment="1">
      <alignment horizontal="center"/>
    </xf>
    <xf numFmtId="0" fontId="51" fillId="4" borderId="0" xfId="0" applyFont="1" applyFill="1" applyAlignment="1">
      <alignment horizontal="center" vertical="center" wrapText="1"/>
    </xf>
    <xf numFmtId="0" fontId="72" fillId="4" borderId="0" xfId="0" applyFont="1" applyFill="1" applyAlignment="1">
      <alignment horizontal="center" vertical="center" wrapText="1"/>
    </xf>
    <xf numFmtId="0" fontId="70" fillId="59" borderId="0" xfId="0" applyFont="1" applyFill="1" applyAlignment="1">
      <alignment horizontal="center" vertical="center"/>
    </xf>
    <xf numFmtId="0" fontId="70" fillId="60" borderId="0" xfId="0" applyFont="1" applyFill="1" applyAlignment="1">
      <alignment horizontal="center" vertical="center"/>
    </xf>
    <xf numFmtId="0" fontId="51" fillId="60" borderId="0" xfId="0" applyFont="1" applyFill="1" applyAlignment="1">
      <alignment horizontal="center" vertical="center" wrapText="1"/>
    </xf>
    <xf numFmtId="0" fontId="71" fillId="0" borderId="0" xfId="0" applyFont="1" applyAlignment="1">
      <alignment horizontal="center"/>
    </xf>
    <xf numFmtId="0" fontId="71" fillId="0" borderId="12" xfId="0" applyFont="1" applyBorder="1" applyAlignment="1">
      <alignment horizontal="center"/>
    </xf>
    <xf numFmtId="0" fontId="71" fillId="0" borderId="9" xfId="0" applyFont="1" applyBorder="1" applyAlignment="1">
      <alignment horizontal="center"/>
    </xf>
    <xf numFmtId="0" fontId="73" fillId="7" borderId="0" xfId="0" applyFont="1" applyFill="1" applyBorder="1" applyAlignment="1">
      <alignment horizontal="center" vertical="center"/>
    </xf>
    <xf numFmtId="0" fontId="74" fillId="17" borderId="0" xfId="0" applyFont="1" applyFill="1" applyBorder="1"/>
    <xf numFmtId="0" fontId="33" fillId="17" borderId="0" xfId="0" applyFont="1" applyFill="1" applyAlignment="1">
      <alignment horizontal="left" vertical="center" wrapText="1"/>
    </xf>
    <xf numFmtId="0" fontId="54" fillId="17" borderId="0" xfId="0" applyFont="1" applyFill="1" applyAlignment="1">
      <alignment horizontal="left" vertical="center" wrapText="1"/>
    </xf>
    <xf numFmtId="0" fontId="57" fillId="42" borderId="0" xfId="0" applyFont="1" applyFill="1" applyAlignment="1">
      <alignment horizontal="left" vertical="center" wrapText="1"/>
    </xf>
    <xf numFmtId="0" fontId="8" fillId="0" borderId="0" xfId="0" applyFont="1" applyAlignment="1">
      <alignment horizontal="left" vertical="center" wrapText="1"/>
    </xf>
    <xf numFmtId="0" fontId="0" fillId="0" borderId="0" xfId="0" applyFont="1" applyAlignment="1">
      <alignment horizontal="left" vertical="center" wrapText="1"/>
    </xf>
    <xf numFmtId="0" fontId="21" fillId="5" borderId="0" xfId="0" applyFont="1" applyFill="1" applyAlignment="1">
      <alignment horizontal="left" vertical="center" wrapText="1"/>
    </xf>
    <xf numFmtId="0" fontId="21" fillId="49" borderId="0" xfId="0" applyFont="1" applyFill="1" applyAlignment="1">
      <alignment horizontal="left" vertical="center" wrapText="1"/>
    </xf>
    <xf numFmtId="0" fontId="21" fillId="18" borderId="0" xfId="0" applyFont="1" applyFill="1" applyAlignment="1">
      <alignment horizontal="left" vertical="center" wrapText="1"/>
    </xf>
    <xf numFmtId="0" fontId="75" fillId="61"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F2F2F2"/>
      <rgbColor rgb="001D5C20"/>
      <rgbColor rgb="000D188E"/>
      <rgbColor rgb="00E1D5E7"/>
      <rgbColor rgb="00F0E8D5"/>
      <rgbColor rgb="00366092"/>
      <rgbColor rgb="00BFBFBF"/>
      <rgbColor rgb="007F7F7F"/>
      <rgbColor rgb="00CCCCCC"/>
      <rgbColor rgb="00EAD5F0"/>
      <rgbColor rgb="00FFF2CC"/>
      <rgbColor rgb="00D5F0E8"/>
      <rgbColor rgb="00F0F0D5"/>
      <rgbColor rgb="00F0D5D5"/>
      <rgbColor rgb="002E75B6"/>
      <rgbColor rgb="00BDD7EE"/>
      <rgbColor rgb="00FAFAFA"/>
      <rgbColor rgb="00FFE6CC"/>
      <rgbColor rgb="00FFE599"/>
      <rgbColor rgb="00DAE8FC"/>
      <rgbColor rgb="00F2E7FE"/>
      <rgbColor rgb="00EBF3FB"/>
      <rgbColor rgb="002F5597"/>
      <rgbColor rgb="00FFF3E0"/>
      <rgbColor rgb="00D6E4F0"/>
      <rgbColor rgb="00DDEBF7"/>
      <rgbColor rgb="00C6EFCE"/>
      <rgbColor rgb="00FFEB9C"/>
      <rgbColor rgb="008CDDFA"/>
      <rgbColor rgb="00FFC7CE"/>
      <rgbColor rgb="00F2C7FF"/>
      <rgbColor rgb="00FFC9C7"/>
      <rgbColor rgb="004472C4"/>
      <rgbColor rgb="00B7DEE8"/>
      <rgbColor rgb="00D5E8D4"/>
      <rgbColor rgb="00FFD700"/>
      <rgbColor rgb="00FFC000"/>
      <rgbColor rgb="00ED7D31"/>
      <rgbColor rgb="00595959"/>
      <rgbColor rgb="00B0B0B0"/>
      <rgbColor rgb="001F4D7A"/>
      <rgbColor rgb="00D5EAD5"/>
      <rgbColor rgb="00E9F5E9"/>
      <rgbColor rgb="001A1A2E"/>
      <rgbColor rgb="00B45309"/>
      <rgbColor rgb="00D9E1F2"/>
      <rgbColor rgb="001E4E9B"/>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www.wps.cn/officeDocument/2021/sharedlinks" Target="sharedlinks.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
  <sheetViews>
    <sheetView workbookViewId="0">
      <selection activeCell="F7" sqref="F7"/>
    </sheetView>
  </sheetViews>
  <sheetFormatPr defaultColWidth="8.53846153846154" defaultRowHeight="16.8" outlineLevelCol="5"/>
  <cols>
    <col min="1" max="1" width="20" customWidth="1"/>
    <col min="2" max="2" width="30" customWidth="1"/>
    <col min="3" max="3" width="60" customWidth="1"/>
    <col min="4" max="6" width="15" customWidth="1"/>
  </cols>
  <sheetData>
    <row r="1" ht="30" customHeight="1" spans="1:6">
      <c r="A1" s="337" t="s">
        <v>0</v>
      </c>
      <c r="B1" s="337"/>
      <c r="C1" s="337"/>
      <c r="D1" s="337"/>
      <c r="E1" s="337"/>
      <c r="F1" s="337"/>
    </row>
    <row r="2" ht="19.5" customHeight="1" spans="1:6">
      <c r="A2" s="338" t="s">
        <v>1</v>
      </c>
      <c r="B2" s="338"/>
      <c r="C2" s="338"/>
      <c r="D2" s="338"/>
      <c r="E2" s="338"/>
      <c r="F2" s="338"/>
    </row>
    <row r="4" ht="24.75" customHeight="1" spans="1:6">
      <c r="A4" s="339" t="s">
        <v>2</v>
      </c>
      <c r="B4" s="340" t="s">
        <v>3</v>
      </c>
      <c r="C4" s="339" t="s">
        <v>4</v>
      </c>
      <c r="D4" s="339" t="s">
        <v>5</v>
      </c>
      <c r="E4" s="339" t="s">
        <v>6</v>
      </c>
      <c r="F4" s="339" t="s">
        <v>7</v>
      </c>
    </row>
    <row r="5" ht="34" spans="1:6">
      <c r="A5" s="341" t="s">
        <v>8</v>
      </c>
      <c r="B5" s="342" t="s">
        <v>9</v>
      </c>
      <c r="C5" s="342" t="s">
        <v>10</v>
      </c>
      <c r="D5" s="343" t="s">
        <v>11</v>
      </c>
      <c r="E5" s="343" t="s">
        <v>12</v>
      </c>
      <c r="F5" s="343" t="s">
        <v>13</v>
      </c>
    </row>
    <row r="6" ht="51" spans="1:6">
      <c r="A6" s="341" t="s">
        <v>8</v>
      </c>
      <c r="B6" s="342" t="s">
        <v>14</v>
      </c>
      <c r="C6" s="342" t="s">
        <v>15</v>
      </c>
      <c r="D6" s="343" t="s">
        <v>16</v>
      </c>
      <c r="E6" s="343" t="s">
        <v>17</v>
      </c>
      <c r="F6" s="343" t="s">
        <v>18</v>
      </c>
    </row>
    <row r="7" ht="51" spans="1:6">
      <c r="A7" s="341" t="s">
        <v>8</v>
      </c>
      <c r="B7" s="342" t="s">
        <v>19</v>
      </c>
      <c r="C7" s="342" t="s">
        <v>20</v>
      </c>
      <c r="D7" s="343" t="s">
        <v>21</v>
      </c>
      <c r="E7" s="343" t="s">
        <v>22</v>
      </c>
      <c r="F7" s="343" t="s">
        <v>23</v>
      </c>
    </row>
    <row r="8" spans="1:6">
      <c r="A8" s="343"/>
      <c r="B8" s="343"/>
      <c r="C8" s="343"/>
      <c r="D8" s="343"/>
      <c r="E8" s="343"/>
      <c r="F8" s="343"/>
    </row>
    <row r="9" ht="34" spans="1:6">
      <c r="A9" s="344" t="s">
        <v>24</v>
      </c>
      <c r="B9" s="342" t="s">
        <v>25</v>
      </c>
      <c r="C9" s="342" t="s">
        <v>26</v>
      </c>
      <c r="D9" s="343" t="s">
        <v>27</v>
      </c>
      <c r="E9" s="343" t="s">
        <v>28</v>
      </c>
      <c r="F9" s="343" t="s">
        <v>29</v>
      </c>
    </row>
    <row r="10" ht="34" spans="1:6">
      <c r="A10" s="344" t="s">
        <v>24</v>
      </c>
      <c r="B10" s="342" t="s">
        <v>30</v>
      </c>
      <c r="C10" s="342" t="s">
        <v>31</v>
      </c>
      <c r="D10" s="343" t="s">
        <v>32</v>
      </c>
      <c r="E10" s="343" t="s">
        <v>33</v>
      </c>
      <c r="F10" s="343" t="s">
        <v>33</v>
      </c>
    </row>
    <row r="11" ht="34" spans="1:6">
      <c r="A11" s="344" t="s">
        <v>24</v>
      </c>
      <c r="B11" s="342" t="s">
        <v>34</v>
      </c>
      <c r="C11" s="342" t="s">
        <v>35</v>
      </c>
      <c r="D11" s="343" t="s">
        <v>32</v>
      </c>
      <c r="E11" s="343" t="s">
        <v>36</v>
      </c>
      <c r="F11" s="343" t="s">
        <v>36</v>
      </c>
    </row>
    <row r="12" ht="34" spans="1:6">
      <c r="A12" s="344" t="s">
        <v>24</v>
      </c>
      <c r="B12" s="342" t="s">
        <v>37</v>
      </c>
      <c r="C12" s="342" t="s">
        <v>38</v>
      </c>
      <c r="D12" s="343" t="s">
        <v>32</v>
      </c>
      <c r="E12" s="343" t="s">
        <v>39</v>
      </c>
      <c r="F12" s="343" t="s">
        <v>39</v>
      </c>
    </row>
    <row r="13" ht="34" spans="1:6">
      <c r="A13" s="344" t="s">
        <v>24</v>
      </c>
      <c r="B13" s="342" t="s">
        <v>40</v>
      </c>
      <c r="C13" s="342" t="s">
        <v>41</v>
      </c>
      <c r="D13" s="343" t="s">
        <v>32</v>
      </c>
      <c r="E13" s="343" t="s">
        <v>42</v>
      </c>
      <c r="F13" s="343" t="s">
        <v>42</v>
      </c>
    </row>
    <row r="14" ht="34" spans="1:6">
      <c r="A14" s="344" t="s">
        <v>24</v>
      </c>
      <c r="B14" s="342" t="s">
        <v>43</v>
      </c>
      <c r="C14" s="342" t="s">
        <v>44</v>
      </c>
      <c r="D14" s="343" t="s">
        <v>32</v>
      </c>
      <c r="E14" s="343" t="s">
        <v>45</v>
      </c>
      <c r="F14" s="343" t="s">
        <v>45</v>
      </c>
    </row>
    <row r="15" spans="1:6">
      <c r="A15" s="343"/>
      <c r="B15" s="343"/>
      <c r="C15" s="343"/>
      <c r="D15" s="343"/>
      <c r="E15" s="343"/>
      <c r="F15" s="343"/>
    </row>
    <row r="16" ht="34" spans="1:6">
      <c r="A16" s="345" t="s">
        <v>46</v>
      </c>
      <c r="B16" s="342" t="s">
        <v>47</v>
      </c>
      <c r="C16" s="342" t="s">
        <v>48</v>
      </c>
      <c r="D16" s="343" t="s">
        <v>49</v>
      </c>
      <c r="E16" s="343" t="s">
        <v>50</v>
      </c>
      <c r="F16" s="343" t="s">
        <v>51</v>
      </c>
    </row>
    <row r="17" ht="17" spans="1:6">
      <c r="A17" s="345" t="s">
        <v>46</v>
      </c>
      <c r="B17" s="342" t="s">
        <v>52</v>
      </c>
      <c r="C17" s="342" t="s">
        <v>53</v>
      </c>
      <c r="D17" s="343" t="s">
        <v>54</v>
      </c>
      <c r="E17" s="343" t="s">
        <v>55</v>
      </c>
      <c r="F17" s="343" t="s">
        <v>56</v>
      </c>
    </row>
    <row r="18" ht="34" spans="1:6">
      <c r="A18" s="345" t="s">
        <v>46</v>
      </c>
      <c r="B18" s="342" t="s">
        <v>57</v>
      </c>
      <c r="C18" s="342" t="s">
        <v>58</v>
      </c>
      <c r="D18" s="343" t="s">
        <v>55</v>
      </c>
      <c r="E18" s="343" t="s">
        <v>49</v>
      </c>
      <c r="F18" s="343" t="s">
        <v>50</v>
      </c>
    </row>
    <row r="19" spans="1:6">
      <c r="A19" s="343"/>
      <c r="B19" s="343"/>
      <c r="C19" s="343"/>
      <c r="D19" s="343"/>
      <c r="E19" s="343"/>
      <c r="F19" s="343"/>
    </row>
    <row r="20" ht="17" spans="1:6">
      <c r="A20" s="346" t="s">
        <v>59</v>
      </c>
      <c r="B20" s="343" t="s">
        <v>60</v>
      </c>
      <c r="C20" s="343" t="s">
        <v>61</v>
      </c>
      <c r="D20" s="343" t="s">
        <v>62</v>
      </c>
      <c r="E20" s="343" t="s">
        <v>63</v>
      </c>
      <c r="F20" s="343" t="s">
        <v>64</v>
      </c>
    </row>
    <row r="21" ht="17" spans="1:6">
      <c r="A21" s="346" t="s">
        <v>59</v>
      </c>
      <c r="B21" s="343" t="s">
        <v>65</v>
      </c>
      <c r="C21" s="343" t="s">
        <v>66</v>
      </c>
      <c r="D21" s="343" t="s">
        <v>67</v>
      </c>
      <c r="E21" s="343" t="s">
        <v>68</v>
      </c>
      <c r="F21" s="343" t="s">
        <v>69</v>
      </c>
    </row>
    <row r="22" ht="17" spans="1:6">
      <c r="A22" s="346" t="s">
        <v>59</v>
      </c>
      <c r="B22" s="343" t="s">
        <v>70</v>
      </c>
      <c r="C22" s="343" t="s">
        <v>71</v>
      </c>
      <c r="D22" s="343" t="s">
        <v>27</v>
      </c>
      <c r="E22" s="343" t="s">
        <v>72</v>
      </c>
      <c r="F22" s="343" t="s">
        <v>73</v>
      </c>
    </row>
    <row r="23" ht="17" spans="1:6">
      <c r="A23" s="346" t="s">
        <v>59</v>
      </c>
      <c r="B23" s="343" t="s">
        <v>74</v>
      </c>
      <c r="C23" s="343" t="s">
        <v>75</v>
      </c>
      <c r="D23" s="343" t="s">
        <v>76</v>
      </c>
      <c r="E23" s="343" t="s">
        <v>77</v>
      </c>
      <c r="F23" s="343" t="s">
        <v>78</v>
      </c>
    </row>
    <row r="24" spans="1:6">
      <c r="A24" s="343"/>
      <c r="B24" s="343"/>
      <c r="C24" s="343"/>
      <c r="D24" s="343"/>
      <c r="E24" s="343"/>
      <c r="F24" s="343"/>
    </row>
    <row r="25" ht="51" spans="1:6">
      <c r="A25" s="347" t="s">
        <v>79</v>
      </c>
      <c r="B25" s="342" t="s">
        <v>80</v>
      </c>
      <c r="C25" s="343" t="s">
        <v>81</v>
      </c>
      <c r="D25" s="343"/>
      <c r="E25" s="343"/>
      <c r="F25" s="343"/>
    </row>
    <row r="26" ht="34" spans="1:6">
      <c r="A26" s="347" t="s">
        <v>79</v>
      </c>
      <c r="B26" s="342" t="s">
        <v>82</v>
      </c>
      <c r="C26" s="343" t="s">
        <v>83</v>
      </c>
      <c r="D26" s="343"/>
      <c r="E26" s="343"/>
      <c r="F26" s="343"/>
    </row>
    <row r="27" ht="17" spans="1:6">
      <c r="A27" s="347" t="s">
        <v>79</v>
      </c>
      <c r="B27" s="342" t="s">
        <v>84</v>
      </c>
      <c r="C27" s="342" t="s">
        <v>85</v>
      </c>
      <c r="D27" s="343"/>
      <c r="E27" s="343"/>
      <c r="F27" s="343"/>
    </row>
    <row r="28" ht="34" spans="1:6">
      <c r="A28" s="347" t="s">
        <v>79</v>
      </c>
      <c r="B28" s="342" t="s">
        <v>86</v>
      </c>
      <c r="C28" s="342" t="s">
        <v>87</v>
      </c>
      <c r="D28" s="343"/>
      <c r="E28" s="343"/>
      <c r="F28" s="343"/>
    </row>
  </sheetData>
  <mergeCells count="2">
    <mergeCell ref="A1:F1"/>
    <mergeCell ref="A2:F2"/>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C9" sqref="C9"/>
    </sheetView>
  </sheetViews>
  <sheetFormatPr defaultColWidth="9.23076923076923" defaultRowHeight="16.8" outlineLevelCol="7"/>
  <cols>
    <col min="1" max="2" width="30.5865384615385" customWidth="1"/>
    <col min="3" max="3" width="75.4711538461538" customWidth="1"/>
    <col min="8" max="8" width="40.3942307692308" customWidth="1"/>
  </cols>
  <sheetData>
    <row r="1" ht="37.5" customHeight="1" spans="1:8">
      <c r="A1" s="122" t="s">
        <v>88</v>
      </c>
      <c r="B1" s="122" t="s">
        <v>89</v>
      </c>
      <c r="C1" s="122" t="s">
        <v>90</v>
      </c>
      <c r="D1" s="122" t="s">
        <v>91</v>
      </c>
      <c r="E1" s="122" t="s">
        <v>92</v>
      </c>
      <c r="F1" s="122" t="s">
        <v>93</v>
      </c>
      <c r="G1" s="122" t="s">
        <v>94</v>
      </c>
      <c r="H1" s="122" t="s">
        <v>95</v>
      </c>
    </row>
    <row r="2" ht="37.5" customHeight="1" spans="1:8">
      <c r="A2" s="284" t="s">
        <v>96</v>
      </c>
      <c r="B2" s="284" t="s">
        <v>97</v>
      </c>
      <c r="C2" s="285" t="s">
        <v>98</v>
      </c>
      <c r="D2" s="286">
        <v>18</v>
      </c>
      <c r="E2" s="286">
        <v>21.5</v>
      </c>
      <c r="F2" s="286">
        <v>39.5</v>
      </c>
      <c r="G2" s="329" t="s">
        <v>99</v>
      </c>
      <c r="H2" s="330" t="s">
        <v>100</v>
      </c>
    </row>
    <row r="3" ht="37.5" customHeight="1" spans="1:8">
      <c r="A3" s="287" t="s">
        <v>101</v>
      </c>
      <c r="B3" s="287" t="s">
        <v>102</v>
      </c>
      <c r="C3" s="288" t="s">
        <v>103</v>
      </c>
      <c r="D3" s="289">
        <v>23.5</v>
      </c>
      <c r="E3" s="289">
        <v>31</v>
      </c>
      <c r="F3" s="289">
        <v>54.5</v>
      </c>
      <c r="G3" s="287" t="s">
        <v>104</v>
      </c>
      <c r="H3" s="287"/>
    </row>
    <row r="4" ht="37.5" customHeight="1" spans="1:8">
      <c r="A4" s="287" t="s">
        <v>101</v>
      </c>
      <c r="B4" s="287" t="s">
        <v>105</v>
      </c>
      <c r="C4" s="288" t="s">
        <v>106</v>
      </c>
      <c r="D4" s="289">
        <v>12</v>
      </c>
      <c r="E4" s="289">
        <v>18.5</v>
      </c>
      <c r="F4" s="289">
        <v>30.5</v>
      </c>
      <c r="G4" s="287" t="s">
        <v>104</v>
      </c>
      <c r="H4" s="287"/>
    </row>
    <row r="5" ht="37.5" customHeight="1" spans="1:8">
      <c r="A5" s="290" t="s">
        <v>107</v>
      </c>
      <c r="B5" s="290" t="s">
        <v>108</v>
      </c>
      <c r="C5" s="287" t="s">
        <v>109</v>
      </c>
      <c r="D5" s="287">
        <v>32</v>
      </c>
      <c r="E5" s="287">
        <v>32</v>
      </c>
      <c r="F5" s="287">
        <v>64</v>
      </c>
      <c r="G5" s="287" t="s">
        <v>104</v>
      </c>
      <c r="H5" s="287" t="s">
        <v>110</v>
      </c>
    </row>
    <row r="6" ht="37.5" customHeight="1" spans="1:8">
      <c r="A6" s="291" t="s">
        <v>111</v>
      </c>
      <c r="B6" s="292" t="s">
        <v>112</v>
      </c>
      <c r="C6" s="291" t="s">
        <v>113</v>
      </c>
      <c r="D6" s="291">
        <v>21</v>
      </c>
      <c r="E6" s="291">
        <v>20.5</v>
      </c>
      <c r="F6" s="291">
        <v>41.5</v>
      </c>
      <c r="G6" s="291" t="s">
        <v>104</v>
      </c>
      <c r="H6" s="291" t="s">
        <v>110</v>
      </c>
    </row>
    <row r="7" ht="37.5" customHeight="1" spans="1:8">
      <c r="A7" s="291" t="s">
        <v>111</v>
      </c>
      <c r="B7" s="291" t="s">
        <v>114</v>
      </c>
      <c r="C7" s="293" t="s">
        <v>115</v>
      </c>
      <c r="D7" s="291">
        <v>72</v>
      </c>
      <c r="E7" s="291">
        <v>57.5</v>
      </c>
      <c r="F7" s="291">
        <v>129.5</v>
      </c>
      <c r="G7" s="291" t="s">
        <v>104</v>
      </c>
      <c r="H7" s="291"/>
    </row>
    <row r="8" ht="37.5" customHeight="1" spans="1:8">
      <c r="A8" s="291" t="s">
        <v>111</v>
      </c>
      <c r="B8" s="291" t="s">
        <v>116</v>
      </c>
      <c r="C8" s="293" t="s">
        <v>117</v>
      </c>
      <c r="D8" s="294">
        <v>40</v>
      </c>
      <c r="E8" s="294">
        <v>45.5</v>
      </c>
      <c r="F8" s="294">
        <v>85.5</v>
      </c>
      <c r="G8" s="291" t="s">
        <v>104</v>
      </c>
      <c r="H8" s="291"/>
    </row>
    <row r="9" ht="37.5" customHeight="1" spans="1:8">
      <c r="A9" s="291" t="s">
        <v>111</v>
      </c>
      <c r="B9" s="292" t="s">
        <v>118</v>
      </c>
      <c r="C9" s="293" t="s">
        <v>119</v>
      </c>
      <c r="D9" s="291">
        <v>19.5</v>
      </c>
      <c r="E9" s="291">
        <v>15</v>
      </c>
      <c r="F9" s="291">
        <v>34.5</v>
      </c>
      <c r="G9" s="291" t="s">
        <v>104</v>
      </c>
      <c r="H9" s="291" t="s">
        <v>110</v>
      </c>
    </row>
    <row r="10" ht="37.5" customHeight="1" spans="1:8">
      <c r="A10" s="295" t="s">
        <v>120</v>
      </c>
      <c r="B10" s="295" t="s">
        <v>121</v>
      </c>
      <c r="C10" s="296" t="s">
        <v>122</v>
      </c>
      <c r="D10" s="297">
        <v>80.5</v>
      </c>
      <c r="E10" s="297">
        <v>60</v>
      </c>
      <c r="F10" s="297">
        <v>140.5</v>
      </c>
      <c r="G10" s="295" t="s">
        <v>104</v>
      </c>
      <c r="H10" s="295"/>
    </row>
    <row r="11" ht="37.5" customHeight="1" spans="1:8">
      <c r="A11" s="295" t="s">
        <v>120</v>
      </c>
      <c r="B11" s="295" t="s">
        <v>123</v>
      </c>
      <c r="C11" s="296" t="s">
        <v>124</v>
      </c>
      <c r="D11" s="297">
        <v>42</v>
      </c>
      <c r="E11" s="297">
        <v>36.5</v>
      </c>
      <c r="F11" s="297">
        <v>78.5</v>
      </c>
      <c r="G11" s="295" t="s">
        <v>104</v>
      </c>
      <c r="H11" s="295"/>
    </row>
    <row r="12" ht="37.5" customHeight="1" spans="1:8">
      <c r="A12" s="295" t="s">
        <v>120</v>
      </c>
      <c r="B12" s="295" t="s">
        <v>125</v>
      </c>
      <c r="C12" s="296" t="s">
        <v>126</v>
      </c>
      <c r="D12" s="297">
        <v>50</v>
      </c>
      <c r="E12" s="297">
        <v>42</v>
      </c>
      <c r="F12" s="297">
        <v>92</v>
      </c>
      <c r="G12" s="295" t="s">
        <v>104</v>
      </c>
      <c r="H12" s="295"/>
    </row>
    <row r="13" ht="37.5" customHeight="1" spans="1:8">
      <c r="A13" s="298" t="s">
        <v>127</v>
      </c>
      <c r="B13" s="298" t="s">
        <v>128</v>
      </c>
      <c r="C13" s="299" t="s">
        <v>129</v>
      </c>
      <c r="D13" s="300">
        <v>23.5</v>
      </c>
      <c r="E13" s="300">
        <v>30.5</v>
      </c>
      <c r="F13" s="300">
        <v>54</v>
      </c>
      <c r="G13" s="298" t="s">
        <v>104</v>
      </c>
      <c r="H13" s="298"/>
    </row>
    <row r="14" ht="37.5" customHeight="1" spans="1:8">
      <c r="A14" s="301" t="s">
        <v>130</v>
      </c>
      <c r="B14" s="301" t="s">
        <v>131</v>
      </c>
      <c r="C14" s="302" t="s">
        <v>132</v>
      </c>
      <c r="D14" s="303">
        <v>16</v>
      </c>
      <c r="E14" s="303">
        <v>22.5</v>
      </c>
      <c r="F14" s="303">
        <v>38.5</v>
      </c>
      <c r="G14" s="301" t="s">
        <v>104</v>
      </c>
      <c r="H14" s="301"/>
    </row>
    <row r="15" ht="37.5" customHeight="1" spans="1:8">
      <c r="A15" s="304" t="s">
        <v>133</v>
      </c>
      <c r="B15" s="304" t="s">
        <v>134</v>
      </c>
      <c r="C15" s="305" t="s">
        <v>135</v>
      </c>
      <c r="D15" s="306">
        <v>41</v>
      </c>
      <c r="E15" s="306">
        <v>52</v>
      </c>
      <c r="F15" s="306">
        <v>93</v>
      </c>
      <c r="G15" s="304" t="s">
        <v>104</v>
      </c>
      <c r="H15" s="304"/>
    </row>
    <row r="16" ht="37.5" customHeight="1" spans="1:8">
      <c r="A16" s="304" t="s">
        <v>133</v>
      </c>
      <c r="B16" s="307" t="s">
        <v>136</v>
      </c>
      <c r="C16" s="304" t="s">
        <v>137</v>
      </c>
      <c r="D16" s="304">
        <v>7.5</v>
      </c>
      <c r="E16" s="304">
        <v>8</v>
      </c>
      <c r="F16" s="304">
        <v>15.5</v>
      </c>
      <c r="G16" s="304" t="s">
        <v>104</v>
      </c>
      <c r="H16" s="304" t="s">
        <v>138</v>
      </c>
    </row>
    <row r="17" ht="37.5" customHeight="1" spans="1:8">
      <c r="A17" s="308" t="s">
        <v>139</v>
      </c>
      <c r="B17" s="309" t="s">
        <v>140</v>
      </c>
      <c r="C17" s="310" t="s">
        <v>141</v>
      </c>
      <c r="D17" s="311">
        <v>46.5</v>
      </c>
      <c r="E17" s="311">
        <v>58.5</v>
      </c>
      <c r="F17" s="311">
        <v>105</v>
      </c>
      <c r="G17" s="311" t="s">
        <v>142</v>
      </c>
      <c r="H17" s="331" t="s">
        <v>143</v>
      </c>
    </row>
    <row r="18" ht="37.5" customHeight="1" spans="1:8">
      <c r="A18" s="312" t="s">
        <v>144</v>
      </c>
      <c r="B18" s="313" t="s">
        <v>145</v>
      </c>
      <c r="C18" s="314" t="s">
        <v>146</v>
      </c>
      <c r="D18" s="315">
        <v>30</v>
      </c>
      <c r="E18" s="315">
        <v>13.5</v>
      </c>
      <c r="F18" s="315">
        <v>43.5</v>
      </c>
      <c r="G18" s="315" t="s">
        <v>142</v>
      </c>
      <c r="H18" s="332" t="s">
        <v>143</v>
      </c>
    </row>
    <row r="19" ht="37.5" customHeight="1" spans="1:8">
      <c r="A19" s="312" t="s">
        <v>144</v>
      </c>
      <c r="B19" s="313" t="s">
        <v>147</v>
      </c>
      <c r="C19" s="316" t="s">
        <v>148</v>
      </c>
      <c r="D19" s="312">
        <v>26.5</v>
      </c>
      <c r="E19" s="312">
        <v>14.5</v>
      </c>
      <c r="F19" s="312">
        <v>41</v>
      </c>
      <c r="G19" s="333" t="s">
        <v>99</v>
      </c>
      <c r="H19" s="312" t="s">
        <v>143</v>
      </c>
    </row>
    <row r="20" ht="37.5" customHeight="1" spans="1:8">
      <c r="A20" s="317" t="s">
        <v>149</v>
      </c>
      <c r="B20" s="318" t="s">
        <v>150</v>
      </c>
      <c r="C20" s="319"/>
      <c r="D20" s="320">
        <v>641.5</v>
      </c>
      <c r="E20" s="320">
        <v>619.5</v>
      </c>
      <c r="F20" s="320">
        <v>1261</v>
      </c>
      <c r="G20" s="334"/>
      <c r="H20" s="334"/>
    </row>
    <row r="21" ht="37.5" customHeight="1" spans="1:8">
      <c r="A21" s="321" t="s">
        <v>151</v>
      </c>
      <c r="B21" s="322" t="s">
        <v>152</v>
      </c>
      <c r="C21" s="323"/>
      <c r="D21" s="324"/>
      <c r="E21" s="324"/>
      <c r="F21" s="324"/>
      <c r="G21" s="324"/>
      <c r="H21" s="335"/>
    </row>
    <row r="22" ht="37.5" customHeight="1" spans="1:8">
      <c r="A22" s="325" t="s">
        <v>151</v>
      </c>
      <c r="B22" s="326" t="s">
        <v>153</v>
      </c>
      <c r="C22" s="327"/>
      <c r="D22" s="328"/>
      <c r="E22" s="328"/>
      <c r="F22" s="328"/>
      <c r="G22" s="328"/>
      <c r="H22" s="336"/>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3"/>
  <sheetViews>
    <sheetView workbookViewId="0">
      <selection activeCell="R10" sqref="R10"/>
    </sheetView>
  </sheetViews>
  <sheetFormatPr defaultColWidth="8.53846153846154" defaultRowHeight="16.8"/>
  <cols>
    <col min="1" max="1" width="6" customWidth="1"/>
    <col min="2" max="2" width="16" customWidth="1"/>
    <col min="3" max="3" width="26" customWidth="1"/>
    <col min="4" max="4" width="38" customWidth="1"/>
    <col min="5" max="5" width="14" customWidth="1"/>
    <col min="6" max="8" width="10" customWidth="1"/>
    <col min="9" max="9" width="14" customWidth="1"/>
    <col min="10" max="10" width="22" customWidth="1"/>
    <col min="11" max="11" width="10" customWidth="1"/>
  </cols>
  <sheetData>
    <row r="1" ht="31.5" customHeight="1" spans="1:11">
      <c r="A1" s="216" t="s">
        <v>154</v>
      </c>
      <c r="B1" s="216"/>
      <c r="C1" s="216"/>
      <c r="D1" s="216"/>
      <c r="E1" s="216"/>
      <c r="F1" s="216"/>
      <c r="G1" s="216"/>
      <c r="H1" s="216"/>
      <c r="I1" s="216"/>
      <c r="J1" s="216"/>
      <c r="K1" s="216"/>
    </row>
    <row r="2" ht="19.5" customHeight="1" spans="1:11">
      <c r="A2" s="217" t="s">
        <v>155</v>
      </c>
      <c r="B2" s="217"/>
      <c r="C2" s="217"/>
      <c r="D2" s="217"/>
      <c r="E2" s="217"/>
      <c r="F2" s="217"/>
      <c r="G2" s="217"/>
      <c r="H2" s="217"/>
      <c r="I2" s="217"/>
      <c r="J2" s="217"/>
      <c r="K2" s="217"/>
    </row>
    <row r="3" ht="7.5" customHeight="1"/>
    <row r="4" ht="21.75" customHeight="1" spans="1:11">
      <c r="A4" s="218" t="s">
        <v>156</v>
      </c>
      <c r="B4" s="219" t="s">
        <v>157</v>
      </c>
      <c r="C4" s="219" t="s">
        <v>158</v>
      </c>
      <c r="D4" s="219" t="s">
        <v>159</v>
      </c>
      <c r="E4" s="219" t="s">
        <v>94</v>
      </c>
      <c r="F4" s="219" t="s">
        <v>160</v>
      </c>
      <c r="G4" s="219" t="s">
        <v>161</v>
      </c>
      <c r="H4" s="219" t="s">
        <v>162</v>
      </c>
      <c r="I4" s="219" t="s">
        <v>163</v>
      </c>
      <c r="J4" s="219" t="s">
        <v>164</v>
      </c>
      <c r="K4" s="219" t="s">
        <v>165</v>
      </c>
    </row>
    <row r="5" ht="24" customHeight="1" spans="1:11">
      <c r="A5" s="220" t="s">
        <v>166</v>
      </c>
      <c r="B5" s="220"/>
      <c r="C5" s="220"/>
      <c r="D5" s="220"/>
      <c r="E5" s="220"/>
      <c r="F5" s="220"/>
      <c r="G5" s="220"/>
      <c r="H5" s="220"/>
      <c r="I5" s="220"/>
      <c r="J5" s="220"/>
      <c r="K5" s="220"/>
    </row>
    <row r="6" ht="60" customHeight="1" spans="1:11">
      <c r="A6" s="221">
        <v>1</v>
      </c>
      <c r="B6" s="222" t="s">
        <v>167</v>
      </c>
      <c r="C6" s="223" t="s">
        <v>168</v>
      </c>
      <c r="D6" s="224" t="s">
        <v>169</v>
      </c>
      <c r="E6" s="247" t="s">
        <v>170</v>
      </c>
      <c r="F6" s="248">
        <v>0</v>
      </c>
      <c r="G6" s="249">
        <v>2</v>
      </c>
      <c r="H6" s="250">
        <f t="shared" ref="H6:H13" si="0">F6+G6</f>
        <v>2</v>
      </c>
      <c r="I6" s="260" t="s">
        <v>171</v>
      </c>
      <c r="J6" s="261" t="s">
        <v>172</v>
      </c>
      <c r="K6" s="262" t="s">
        <v>173</v>
      </c>
    </row>
    <row r="7" ht="60" customHeight="1" spans="1:11">
      <c r="A7" s="221">
        <v>2</v>
      </c>
      <c r="B7" s="222" t="s">
        <v>167</v>
      </c>
      <c r="C7" s="225" t="s">
        <v>174</v>
      </c>
      <c r="D7" s="224" t="s">
        <v>175</v>
      </c>
      <c r="E7" s="247" t="s">
        <v>176</v>
      </c>
      <c r="F7" s="248">
        <v>3</v>
      </c>
      <c r="G7" s="249">
        <v>2</v>
      </c>
      <c r="H7" s="250">
        <f t="shared" si="0"/>
        <v>5</v>
      </c>
      <c r="I7" s="260" t="s">
        <v>177</v>
      </c>
      <c r="J7" s="263" t="s">
        <v>178</v>
      </c>
      <c r="K7" s="262" t="s">
        <v>173</v>
      </c>
    </row>
    <row r="8" ht="60" customHeight="1" spans="1:11">
      <c r="A8" s="221">
        <v>3</v>
      </c>
      <c r="B8" s="222" t="s">
        <v>167</v>
      </c>
      <c r="C8" s="225" t="s">
        <v>179</v>
      </c>
      <c r="D8" s="224" t="s">
        <v>180</v>
      </c>
      <c r="E8" s="247" t="s">
        <v>176</v>
      </c>
      <c r="F8" s="248">
        <v>2</v>
      </c>
      <c r="G8" s="249">
        <v>1.5</v>
      </c>
      <c r="H8" s="250">
        <f t="shared" si="0"/>
        <v>3.5</v>
      </c>
      <c r="I8" s="260" t="s">
        <v>181</v>
      </c>
      <c r="J8" s="261" t="s">
        <v>182</v>
      </c>
      <c r="K8" s="262" t="s">
        <v>173</v>
      </c>
    </row>
    <row r="9" ht="60" customHeight="1" spans="1:11">
      <c r="A9" s="221">
        <v>4</v>
      </c>
      <c r="B9" s="222" t="s">
        <v>167</v>
      </c>
      <c r="C9" s="225" t="s">
        <v>183</v>
      </c>
      <c r="D9" s="224" t="s">
        <v>184</v>
      </c>
      <c r="E9" s="247" t="s">
        <v>176</v>
      </c>
      <c r="F9" s="248">
        <v>1</v>
      </c>
      <c r="G9" s="249">
        <v>1</v>
      </c>
      <c r="H9" s="250">
        <f t="shared" si="0"/>
        <v>2</v>
      </c>
      <c r="I9" s="260" t="s">
        <v>111</v>
      </c>
      <c r="J9" s="261" t="s">
        <v>185</v>
      </c>
      <c r="K9" s="262" t="s">
        <v>173</v>
      </c>
    </row>
    <row r="10" ht="60" customHeight="1" spans="1:11">
      <c r="A10" s="221">
        <v>5</v>
      </c>
      <c r="B10" s="222" t="s">
        <v>167</v>
      </c>
      <c r="C10" s="225" t="s">
        <v>186</v>
      </c>
      <c r="D10" s="224" t="s">
        <v>187</v>
      </c>
      <c r="E10" s="247" t="s">
        <v>170</v>
      </c>
      <c r="F10" s="248">
        <v>0</v>
      </c>
      <c r="G10" s="249">
        <v>2</v>
      </c>
      <c r="H10" s="250">
        <f t="shared" si="0"/>
        <v>2</v>
      </c>
      <c r="I10" s="260" t="s">
        <v>111</v>
      </c>
      <c r="J10" s="263" t="s">
        <v>188</v>
      </c>
      <c r="K10" s="262" t="s">
        <v>173</v>
      </c>
    </row>
    <row r="11" ht="60" customHeight="1" spans="1:11">
      <c r="A11" s="221">
        <v>6</v>
      </c>
      <c r="B11" s="222" t="s">
        <v>167</v>
      </c>
      <c r="C11" s="225" t="s">
        <v>189</v>
      </c>
      <c r="D11" s="224" t="s">
        <v>190</v>
      </c>
      <c r="E11" s="247" t="s">
        <v>170</v>
      </c>
      <c r="F11" s="248">
        <v>0.5</v>
      </c>
      <c r="G11" s="249">
        <v>1.5</v>
      </c>
      <c r="H11" s="250">
        <f t="shared" si="0"/>
        <v>2</v>
      </c>
      <c r="I11" s="260" t="s">
        <v>191</v>
      </c>
      <c r="J11" s="263" t="s">
        <v>192</v>
      </c>
      <c r="K11" s="264" t="s">
        <v>193</v>
      </c>
    </row>
    <row r="12" ht="60" customHeight="1" spans="1:11">
      <c r="A12" s="221">
        <v>7</v>
      </c>
      <c r="B12" s="222" t="s">
        <v>167</v>
      </c>
      <c r="C12" s="225" t="s">
        <v>194</v>
      </c>
      <c r="D12" s="224" t="s">
        <v>195</v>
      </c>
      <c r="E12" s="247" t="s">
        <v>176</v>
      </c>
      <c r="F12" s="248">
        <v>1</v>
      </c>
      <c r="G12" s="249">
        <v>2</v>
      </c>
      <c r="H12" s="250">
        <f t="shared" si="0"/>
        <v>3</v>
      </c>
      <c r="I12" s="260" t="s">
        <v>196</v>
      </c>
      <c r="J12" s="263" t="s">
        <v>197</v>
      </c>
      <c r="K12" s="264" t="s">
        <v>193</v>
      </c>
    </row>
    <row r="13" ht="21.75" customHeight="1" spans="1:11">
      <c r="A13" s="226" t="s">
        <v>198</v>
      </c>
      <c r="B13" s="226"/>
      <c r="C13" s="226"/>
      <c r="D13" s="226"/>
      <c r="E13" s="226"/>
      <c r="F13" s="251">
        <f>F6+F7+F8+F9+F10+F11+F12</f>
        <v>7.5</v>
      </c>
      <c r="G13" s="251">
        <f>G6+G7+G8+G9+G10+G11+G12</f>
        <v>12</v>
      </c>
      <c r="H13" s="251">
        <f t="shared" si="0"/>
        <v>19.5</v>
      </c>
      <c r="I13" s="265"/>
      <c r="J13" s="265"/>
      <c r="K13" s="265"/>
    </row>
    <row r="14" ht="7.5" customHeight="1"/>
    <row r="15" ht="24" customHeight="1" spans="1:11">
      <c r="A15" s="227" t="s">
        <v>199</v>
      </c>
      <c r="B15" s="227"/>
      <c r="C15" s="227"/>
      <c r="D15" s="227"/>
      <c r="E15" s="227"/>
      <c r="F15" s="227"/>
      <c r="G15" s="227"/>
      <c r="H15" s="227"/>
      <c r="I15" s="227"/>
      <c r="J15" s="227"/>
      <c r="K15" s="227"/>
    </row>
    <row r="16" ht="60" customHeight="1" spans="1:11">
      <c r="A16" s="228">
        <v>8</v>
      </c>
      <c r="B16" s="229" t="s">
        <v>200</v>
      </c>
      <c r="C16" s="230" t="s">
        <v>201</v>
      </c>
      <c r="D16" s="231" t="s">
        <v>202</v>
      </c>
      <c r="E16" s="252" t="s">
        <v>170</v>
      </c>
      <c r="F16" s="248">
        <v>0</v>
      </c>
      <c r="G16" s="253">
        <v>1.5</v>
      </c>
      <c r="H16" s="254">
        <f t="shared" ref="H16:H21" si="1">F16+G16</f>
        <v>1.5</v>
      </c>
      <c r="I16" s="266" t="s">
        <v>203</v>
      </c>
      <c r="J16" s="267" t="s">
        <v>204</v>
      </c>
      <c r="K16" s="262" t="s">
        <v>173</v>
      </c>
    </row>
    <row r="17" ht="60" customHeight="1" spans="1:11">
      <c r="A17" s="228">
        <v>9</v>
      </c>
      <c r="B17" s="229" t="s">
        <v>200</v>
      </c>
      <c r="C17" s="230" t="s">
        <v>205</v>
      </c>
      <c r="D17" s="231" t="s">
        <v>206</v>
      </c>
      <c r="E17" s="252" t="s">
        <v>170</v>
      </c>
      <c r="F17" s="248">
        <v>0</v>
      </c>
      <c r="G17" s="253">
        <v>0.5</v>
      </c>
      <c r="H17" s="254">
        <f t="shared" si="1"/>
        <v>0.5</v>
      </c>
      <c r="I17" s="266" t="s">
        <v>207</v>
      </c>
      <c r="J17" s="268" t="s">
        <v>208</v>
      </c>
      <c r="K17" s="262" t="s">
        <v>173</v>
      </c>
    </row>
    <row r="18" ht="60" customHeight="1" spans="1:11">
      <c r="A18" s="228">
        <v>10</v>
      </c>
      <c r="B18" s="229" t="s">
        <v>200</v>
      </c>
      <c r="C18" s="230" t="s">
        <v>209</v>
      </c>
      <c r="D18" s="231" t="s">
        <v>210</v>
      </c>
      <c r="E18" s="252" t="s">
        <v>176</v>
      </c>
      <c r="F18" s="248">
        <v>1</v>
      </c>
      <c r="G18" s="253">
        <v>1</v>
      </c>
      <c r="H18" s="254">
        <f t="shared" si="1"/>
        <v>2</v>
      </c>
      <c r="I18" s="266" t="s">
        <v>211</v>
      </c>
      <c r="J18" s="268" t="s">
        <v>212</v>
      </c>
      <c r="K18" s="264" t="s">
        <v>193</v>
      </c>
    </row>
    <row r="19" ht="60" customHeight="1" spans="1:11">
      <c r="A19" s="228">
        <v>11</v>
      </c>
      <c r="B19" s="229" t="s">
        <v>200</v>
      </c>
      <c r="C19" s="230" t="s">
        <v>213</v>
      </c>
      <c r="D19" s="231" t="s">
        <v>214</v>
      </c>
      <c r="E19" s="252" t="s">
        <v>176</v>
      </c>
      <c r="F19" s="248">
        <v>1</v>
      </c>
      <c r="G19" s="253">
        <v>1</v>
      </c>
      <c r="H19" s="254">
        <f t="shared" si="1"/>
        <v>2</v>
      </c>
      <c r="I19" s="266" t="s">
        <v>215</v>
      </c>
      <c r="J19" s="268" t="s">
        <v>216</v>
      </c>
      <c r="K19" s="264" t="s">
        <v>193</v>
      </c>
    </row>
    <row r="20" ht="60" customHeight="1" spans="1:11">
      <c r="A20" s="228">
        <v>12</v>
      </c>
      <c r="B20" s="229" t="s">
        <v>200</v>
      </c>
      <c r="C20" s="230" t="s">
        <v>217</v>
      </c>
      <c r="D20" s="231" t="s">
        <v>218</v>
      </c>
      <c r="E20" s="252" t="s">
        <v>170</v>
      </c>
      <c r="F20" s="248">
        <v>0</v>
      </c>
      <c r="G20" s="253">
        <v>0.5</v>
      </c>
      <c r="H20" s="254">
        <f t="shared" si="1"/>
        <v>0.5</v>
      </c>
      <c r="I20" s="266" t="s">
        <v>101</v>
      </c>
      <c r="J20" s="267" t="s">
        <v>219</v>
      </c>
      <c r="K20" s="262" t="s">
        <v>173</v>
      </c>
    </row>
    <row r="21" ht="21.75" customHeight="1" spans="1:11">
      <c r="A21" s="232" t="s">
        <v>220</v>
      </c>
      <c r="B21" s="232"/>
      <c r="C21" s="232"/>
      <c r="D21" s="232"/>
      <c r="E21" s="232"/>
      <c r="F21" s="255">
        <f>F16+F17+F18+F19+F20</f>
        <v>2</v>
      </c>
      <c r="G21" s="255">
        <f>G16+G17+G18+G19+G20</f>
        <v>4.5</v>
      </c>
      <c r="H21" s="255">
        <f t="shared" si="1"/>
        <v>6.5</v>
      </c>
      <c r="I21" s="269"/>
      <c r="J21" s="269"/>
      <c r="K21" s="269"/>
    </row>
    <row r="22" ht="7.5" customHeight="1"/>
    <row r="23" ht="24" customHeight="1" spans="1:11">
      <c r="A23" s="233" t="s">
        <v>221</v>
      </c>
      <c r="B23" s="233"/>
      <c r="C23" s="233"/>
      <c r="D23" s="233"/>
      <c r="E23" s="233"/>
      <c r="F23" s="233"/>
      <c r="G23" s="233"/>
      <c r="H23" s="233"/>
      <c r="I23" s="233"/>
      <c r="J23" s="233"/>
      <c r="K23" s="233"/>
    </row>
    <row r="24" ht="60" customHeight="1" spans="1:11">
      <c r="A24" s="234">
        <v>13</v>
      </c>
      <c r="B24" s="235" t="s">
        <v>222</v>
      </c>
      <c r="C24" s="236" t="s">
        <v>223</v>
      </c>
      <c r="D24" s="237" t="s">
        <v>224</v>
      </c>
      <c r="E24" s="256" t="s">
        <v>170</v>
      </c>
      <c r="F24" s="248">
        <v>0</v>
      </c>
      <c r="G24" s="257">
        <v>1</v>
      </c>
      <c r="H24" s="258">
        <f t="shared" ref="H24:H30" si="2">F24+G24</f>
        <v>1</v>
      </c>
      <c r="I24" s="270" t="s">
        <v>225</v>
      </c>
      <c r="J24" s="271" t="s">
        <v>226</v>
      </c>
      <c r="K24" s="262" t="s">
        <v>173</v>
      </c>
    </row>
    <row r="25" ht="60" customHeight="1" spans="1:11">
      <c r="A25" s="234">
        <v>14</v>
      </c>
      <c r="B25" s="235" t="s">
        <v>222</v>
      </c>
      <c r="C25" s="236" t="s">
        <v>227</v>
      </c>
      <c r="D25" s="237" t="s">
        <v>228</v>
      </c>
      <c r="E25" s="256" t="s">
        <v>170</v>
      </c>
      <c r="F25" s="248">
        <v>0</v>
      </c>
      <c r="G25" s="257">
        <v>2</v>
      </c>
      <c r="H25" s="258">
        <f t="shared" si="2"/>
        <v>2</v>
      </c>
      <c r="I25" s="270" t="s">
        <v>229</v>
      </c>
      <c r="J25" s="271" t="s">
        <v>230</v>
      </c>
      <c r="K25" s="264" t="s">
        <v>193</v>
      </c>
    </row>
    <row r="26" ht="60" customHeight="1" spans="1:11">
      <c r="A26" s="234">
        <v>15</v>
      </c>
      <c r="B26" s="235" t="s">
        <v>222</v>
      </c>
      <c r="C26" s="238" t="s">
        <v>231</v>
      </c>
      <c r="D26" s="237" t="s">
        <v>232</v>
      </c>
      <c r="E26" s="256" t="s">
        <v>176</v>
      </c>
      <c r="F26" s="248">
        <v>3</v>
      </c>
      <c r="G26" s="257">
        <v>1</v>
      </c>
      <c r="H26" s="258">
        <f t="shared" si="2"/>
        <v>4</v>
      </c>
      <c r="I26" s="270" t="s">
        <v>233</v>
      </c>
      <c r="J26" s="272" t="s">
        <v>234</v>
      </c>
      <c r="K26" s="264" t="s">
        <v>193</v>
      </c>
    </row>
    <row r="27" ht="60" customHeight="1" spans="1:11">
      <c r="A27" s="234">
        <v>16</v>
      </c>
      <c r="B27" s="235" t="s">
        <v>222</v>
      </c>
      <c r="C27" s="238" t="s">
        <v>235</v>
      </c>
      <c r="D27" s="237" t="s">
        <v>236</v>
      </c>
      <c r="E27" s="256" t="s">
        <v>170</v>
      </c>
      <c r="F27" s="248">
        <v>0</v>
      </c>
      <c r="G27" s="257">
        <v>1.5</v>
      </c>
      <c r="H27" s="258">
        <f t="shared" si="2"/>
        <v>1.5</v>
      </c>
      <c r="I27" s="270" t="s">
        <v>237</v>
      </c>
      <c r="J27" s="271" t="s">
        <v>238</v>
      </c>
      <c r="K27" s="264" t="s">
        <v>193</v>
      </c>
    </row>
    <row r="28" ht="60" customHeight="1" spans="1:11">
      <c r="A28" s="234">
        <v>17</v>
      </c>
      <c r="B28" s="235" t="s">
        <v>222</v>
      </c>
      <c r="C28" s="236" t="s">
        <v>239</v>
      </c>
      <c r="D28" s="237" t="s">
        <v>240</v>
      </c>
      <c r="E28" s="256" t="s">
        <v>176</v>
      </c>
      <c r="F28" s="248">
        <v>1.5</v>
      </c>
      <c r="G28" s="257">
        <v>1</v>
      </c>
      <c r="H28" s="258">
        <f t="shared" si="2"/>
        <v>2.5</v>
      </c>
      <c r="I28" s="270" t="s">
        <v>241</v>
      </c>
      <c r="J28" s="272" t="s">
        <v>242</v>
      </c>
      <c r="K28" s="264" t="s">
        <v>193</v>
      </c>
    </row>
    <row r="29" ht="60" customHeight="1" spans="1:11">
      <c r="A29" s="234">
        <v>18</v>
      </c>
      <c r="B29" s="235" t="s">
        <v>222</v>
      </c>
      <c r="C29" s="236" t="s">
        <v>243</v>
      </c>
      <c r="D29" s="237" t="s">
        <v>244</v>
      </c>
      <c r="E29" s="256" t="s">
        <v>170</v>
      </c>
      <c r="F29" s="248">
        <v>0</v>
      </c>
      <c r="G29" s="257">
        <v>1</v>
      </c>
      <c r="H29" s="258">
        <f t="shared" si="2"/>
        <v>1</v>
      </c>
      <c r="I29" s="270" t="s">
        <v>245</v>
      </c>
      <c r="J29" s="271" t="s">
        <v>246</v>
      </c>
      <c r="K29" s="264" t="s">
        <v>193</v>
      </c>
    </row>
    <row r="30" ht="21.75" customHeight="1" spans="1:11">
      <c r="A30" s="239" t="s">
        <v>247</v>
      </c>
      <c r="B30" s="239"/>
      <c r="C30" s="239"/>
      <c r="D30" s="239"/>
      <c r="E30" s="239"/>
      <c r="F30" s="259">
        <f>F24+F25+F26+F27+F28+F29</f>
        <v>4.5</v>
      </c>
      <c r="G30" s="259">
        <f>G24+G25+G26+G27+G28+G29</f>
        <v>7.5</v>
      </c>
      <c r="H30" s="259">
        <f t="shared" si="2"/>
        <v>12</v>
      </c>
      <c r="I30" s="273"/>
      <c r="J30" s="273"/>
      <c r="K30" s="273"/>
    </row>
    <row r="31" ht="7.5" customHeight="1"/>
    <row r="33" ht="27.75" customHeight="1" spans="1:5">
      <c r="A33" s="240"/>
      <c r="B33" s="240"/>
      <c r="C33" s="240"/>
      <c r="D33" s="240"/>
      <c r="E33" s="240"/>
    </row>
    <row r="34" spans="1:11">
      <c r="A34" s="241" t="s">
        <v>248</v>
      </c>
      <c r="B34" s="241"/>
      <c r="C34" s="241"/>
      <c r="D34" s="241"/>
      <c r="E34" s="241"/>
      <c r="F34" s="241"/>
      <c r="G34" s="241"/>
      <c r="H34" s="241"/>
      <c r="I34" s="241"/>
      <c r="J34" s="241"/>
      <c r="K34" s="241"/>
    </row>
    <row r="35" ht="19.5" customHeight="1" spans="1:11">
      <c r="A35" s="242" t="s">
        <v>249</v>
      </c>
      <c r="B35" s="242" t="s">
        <v>250</v>
      </c>
      <c r="C35" s="242" t="s">
        <v>251</v>
      </c>
      <c r="D35" s="242" t="s">
        <v>252</v>
      </c>
      <c r="E35" s="242" t="s">
        <v>253</v>
      </c>
      <c r="F35" s="242">
        <v>0</v>
      </c>
      <c r="G35" s="242">
        <v>1</v>
      </c>
      <c r="H35" s="242">
        <v>1</v>
      </c>
      <c r="I35" s="242" t="s">
        <v>254</v>
      </c>
      <c r="J35" s="242" t="s">
        <v>255</v>
      </c>
      <c r="K35" s="242" t="s">
        <v>173</v>
      </c>
    </row>
    <row r="36" ht="18" customHeight="1" spans="1:11">
      <c r="A36" s="242" t="s">
        <v>256</v>
      </c>
      <c r="B36" s="242" t="s">
        <v>250</v>
      </c>
      <c r="C36" s="242" t="s">
        <v>257</v>
      </c>
      <c r="D36" s="242" t="s">
        <v>258</v>
      </c>
      <c r="E36" s="242" t="s">
        <v>259</v>
      </c>
      <c r="F36" s="242">
        <v>2.5</v>
      </c>
      <c r="G36" s="242">
        <v>1.5</v>
      </c>
      <c r="H36" s="242">
        <v>4</v>
      </c>
      <c r="I36" s="242" t="s">
        <v>260</v>
      </c>
      <c r="J36" s="242" t="s">
        <v>261</v>
      </c>
      <c r="K36" s="242" t="s">
        <v>173</v>
      </c>
    </row>
    <row r="37" ht="18" customHeight="1" spans="1:11">
      <c r="A37" s="242" t="s">
        <v>262</v>
      </c>
      <c r="B37" s="242" t="s">
        <v>250</v>
      </c>
      <c r="C37" s="242" t="s">
        <v>263</v>
      </c>
      <c r="D37" s="242" t="s">
        <v>264</v>
      </c>
      <c r="E37" s="242" t="s">
        <v>253</v>
      </c>
      <c r="F37" s="242">
        <v>0</v>
      </c>
      <c r="G37" s="242">
        <v>1.5</v>
      </c>
      <c r="H37" s="242">
        <v>1.5</v>
      </c>
      <c r="I37" s="242" t="s">
        <v>265</v>
      </c>
      <c r="J37" s="242" t="s">
        <v>266</v>
      </c>
      <c r="K37" s="242" t="s">
        <v>173</v>
      </c>
    </row>
    <row r="38" ht="18" customHeight="1" spans="1:11">
      <c r="A38" s="242" t="s">
        <v>267</v>
      </c>
      <c r="B38" s="242" t="s">
        <v>250</v>
      </c>
      <c r="C38" s="242" t="s">
        <v>268</v>
      </c>
      <c r="D38" s="242" t="s">
        <v>269</v>
      </c>
      <c r="E38" s="242" t="s">
        <v>253</v>
      </c>
      <c r="F38" s="242">
        <v>0</v>
      </c>
      <c r="G38" s="242">
        <v>0.5</v>
      </c>
      <c r="H38" s="242">
        <v>0.5</v>
      </c>
      <c r="I38" s="242" t="s">
        <v>265</v>
      </c>
      <c r="J38" s="242" t="s">
        <v>270</v>
      </c>
      <c r="K38" s="242" t="s">
        <v>173</v>
      </c>
    </row>
    <row r="39" ht="18" customHeight="1" spans="1:11">
      <c r="A39" s="242" t="s">
        <v>271</v>
      </c>
      <c r="B39" s="242" t="s">
        <v>250</v>
      </c>
      <c r="C39" s="242" t="s">
        <v>272</v>
      </c>
      <c r="D39" s="242" t="s">
        <v>273</v>
      </c>
      <c r="E39" s="242" t="s">
        <v>253</v>
      </c>
      <c r="F39" s="242">
        <v>0</v>
      </c>
      <c r="G39" s="242">
        <v>0.5</v>
      </c>
      <c r="H39" s="242">
        <v>0.5</v>
      </c>
      <c r="I39" s="242" t="s">
        <v>274</v>
      </c>
      <c r="J39" s="242" t="s">
        <v>275</v>
      </c>
      <c r="K39" s="242" t="s">
        <v>193</v>
      </c>
    </row>
    <row r="40" ht="18" customHeight="1" spans="1:11">
      <c r="A40" s="243" t="s">
        <v>276</v>
      </c>
      <c r="B40" s="243"/>
      <c r="C40" s="243"/>
      <c r="D40" s="243"/>
      <c r="E40" s="243"/>
      <c r="F40" s="243">
        <v>2.5</v>
      </c>
      <c r="G40" s="243">
        <v>5</v>
      </c>
      <c r="H40" s="243">
        <v>7.5</v>
      </c>
      <c r="I40" s="243"/>
      <c r="J40" s="243"/>
      <c r="K40" s="243"/>
    </row>
    <row r="41" ht="18" customHeight="1" spans="1:11">
      <c r="A41" s="240"/>
      <c r="B41" s="240"/>
      <c r="C41" s="240"/>
      <c r="D41" s="240"/>
      <c r="E41" s="240"/>
      <c r="F41" s="240"/>
      <c r="G41" s="240"/>
      <c r="H41" s="240"/>
      <c r="I41" s="240"/>
      <c r="J41" s="240"/>
      <c r="K41" s="240"/>
    </row>
    <row r="42" spans="1:11">
      <c r="A42" s="241" t="s">
        <v>277</v>
      </c>
      <c r="B42" s="241"/>
      <c r="C42" s="241"/>
      <c r="D42" s="241"/>
      <c r="E42" s="241"/>
      <c r="F42" s="241"/>
      <c r="G42" s="241"/>
      <c r="H42" s="241"/>
      <c r="I42" s="241"/>
      <c r="J42" s="241"/>
      <c r="K42" s="241"/>
    </row>
    <row r="43" ht="168" spans="1:11">
      <c r="A43" s="244" t="s">
        <v>278</v>
      </c>
      <c r="B43" s="245" t="s">
        <v>279</v>
      </c>
      <c r="C43" s="65" t="s">
        <v>280</v>
      </c>
      <c r="D43" s="245" t="s">
        <v>281</v>
      </c>
      <c r="E43" s="65" t="s">
        <v>253</v>
      </c>
      <c r="F43">
        <v>0</v>
      </c>
      <c r="G43">
        <v>2</v>
      </c>
      <c r="H43">
        <v>2</v>
      </c>
      <c r="I43" s="274" t="s">
        <v>282</v>
      </c>
      <c r="J43" s="65" t="s">
        <v>283</v>
      </c>
      <c r="K43" s="65" t="s">
        <v>173</v>
      </c>
    </row>
    <row r="44" ht="135" spans="1:11">
      <c r="A44" s="244" t="s">
        <v>284</v>
      </c>
      <c r="B44" s="245" t="s">
        <v>279</v>
      </c>
      <c r="C44" s="245" t="s">
        <v>285</v>
      </c>
      <c r="D44" s="245" t="s">
        <v>286</v>
      </c>
      <c r="E44" s="65" t="s">
        <v>253</v>
      </c>
      <c r="F44">
        <v>0</v>
      </c>
      <c r="G44">
        <v>1</v>
      </c>
      <c r="H44">
        <v>1</v>
      </c>
      <c r="I44" s="274" t="s">
        <v>265</v>
      </c>
      <c r="J44" s="65" t="s">
        <v>287</v>
      </c>
      <c r="K44" s="65" t="s">
        <v>173</v>
      </c>
    </row>
    <row r="45" ht="135" spans="1:11">
      <c r="A45" s="244" t="s">
        <v>288</v>
      </c>
      <c r="B45" s="245" t="s">
        <v>279</v>
      </c>
      <c r="C45" s="245" t="s">
        <v>289</v>
      </c>
      <c r="D45" s="245" t="s">
        <v>290</v>
      </c>
      <c r="E45" s="65" t="s">
        <v>253</v>
      </c>
      <c r="F45">
        <v>0</v>
      </c>
      <c r="G45">
        <v>0.5</v>
      </c>
      <c r="H45">
        <v>0.5</v>
      </c>
      <c r="I45" s="245" t="s">
        <v>291</v>
      </c>
      <c r="J45" s="245" t="s">
        <v>292</v>
      </c>
      <c r="K45" s="65" t="s">
        <v>193</v>
      </c>
    </row>
    <row r="46" ht="135" spans="1:11">
      <c r="A46" s="244" t="s">
        <v>50</v>
      </c>
      <c r="B46" s="245" t="s">
        <v>279</v>
      </c>
      <c r="C46" s="245" t="s">
        <v>293</v>
      </c>
      <c r="D46" s="245" t="s">
        <v>294</v>
      </c>
      <c r="E46" s="65" t="s">
        <v>253</v>
      </c>
      <c r="F46">
        <v>0</v>
      </c>
      <c r="G46">
        <v>0.5</v>
      </c>
      <c r="H46">
        <v>0.5</v>
      </c>
      <c r="I46" s="245" t="s">
        <v>265</v>
      </c>
      <c r="J46" s="245" t="s">
        <v>295</v>
      </c>
      <c r="K46" s="65" t="s">
        <v>193</v>
      </c>
    </row>
    <row r="47" spans="1:11">
      <c r="A47" s="246" t="s">
        <v>296</v>
      </c>
      <c r="B47" s="246"/>
      <c r="C47" s="246"/>
      <c r="D47" s="246"/>
      <c r="E47" s="246"/>
      <c r="F47" s="246">
        <v>0</v>
      </c>
      <c r="G47" s="246">
        <v>4</v>
      </c>
      <c r="H47" s="246">
        <v>4</v>
      </c>
      <c r="I47" s="246"/>
      <c r="J47" s="246"/>
      <c r="K47" s="246"/>
    </row>
    <row r="49" spans="1:11">
      <c r="A49" s="241" t="s">
        <v>297</v>
      </c>
      <c r="B49" s="241"/>
      <c r="C49" s="241"/>
      <c r="D49" s="241"/>
      <c r="E49" s="241"/>
      <c r="F49" s="241"/>
      <c r="G49" s="241"/>
      <c r="H49" s="241"/>
      <c r="I49" s="241"/>
      <c r="J49" s="241"/>
      <c r="K49" s="241"/>
    </row>
    <row r="50" ht="185" spans="1:11">
      <c r="A50" s="244" t="s">
        <v>298</v>
      </c>
      <c r="B50" s="245" t="s">
        <v>299</v>
      </c>
      <c r="C50" s="65" t="s">
        <v>300</v>
      </c>
      <c r="D50" s="245" t="s">
        <v>301</v>
      </c>
      <c r="E50" s="65" t="s">
        <v>253</v>
      </c>
      <c r="F50">
        <v>0</v>
      </c>
      <c r="G50">
        <v>2</v>
      </c>
      <c r="H50">
        <v>2</v>
      </c>
      <c r="I50" s="245" t="s">
        <v>302</v>
      </c>
      <c r="J50" s="65" t="s">
        <v>303</v>
      </c>
      <c r="K50" s="65" t="s">
        <v>193</v>
      </c>
    </row>
    <row r="51" ht="135" spans="1:11">
      <c r="A51" s="244" t="s">
        <v>304</v>
      </c>
      <c r="B51" s="245" t="s">
        <v>299</v>
      </c>
      <c r="C51" s="245" t="s">
        <v>305</v>
      </c>
      <c r="D51" s="245" t="s">
        <v>306</v>
      </c>
      <c r="E51" s="65" t="s">
        <v>253</v>
      </c>
      <c r="F51">
        <v>0</v>
      </c>
      <c r="G51">
        <v>1</v>
      </c>
      <c r="H51">
        <v>1</v>
      </c>
      <c r="I51" s="245" t="s">
        <v>307</v>
      </c>
      <c r="J51" s="65" t="s">
        <v>308</v>
      </c>
      <c r="K51" s="65" t="s">
        <v>193</v>
      </c>
    </row>
    <row r="52" spans="1:11">
      <c r="A52" s="246" t="s">
        <v>309</v>
      </c>
      <c r="B52" s="246"/>
      <c r="C52" s="246"/>
      <c r="D52" s="246"/>
      <c r="E52" s="246"/>
      <c r="F52" s="246">
        <v>0</v>
      </c>
      <c r="G52" s="246">
        <v>3</v>
      </c>
      <c r="H52" s="246">
        <v>3</v>
      </c>
      <c r="I52" s="246"/>
      <c r="J52" s="246"/>
      <c r="K52" s="246"/>
    </row>
    <row r="54" spans="1:11">
      <c r="A54" s="241" t="s">
        <v>310</v>
      </c>
      <c r="B54" s="241"/>
      <c r="C54" s="241"/>
      <c r="D54" s="241"/>
      <c r="E54" s="241"/>
      <c r="F54" s="241"/>
      <c r="G54" s="241"/>
      <c r="H54" s="241"/>
      <c r="I54" s="241"/>
      <c r="J54" s="241"/>
      <c r="K54" s="241"/>
    </row>
    <row r="55" ht="236" spans="1:11">
      <c r="A55" s="244" t="s">
        <v>311</v>
      </c>
      <c r="B55" s="245" t="s">
        <v>312</v>
      </c>
      <c r="C55" s="65" t="s">
        <v>313</v>
      </c>
      <c r="D55" s="245" t="s">
        <v>314</v>
      </c>
      <c r="E55" s="65" t="s">
        <v>253</v>
      </c>
      <c r="F55">
        <v>0</v>
      </c>
      <c r="G55">
        <v>0.5</v>
      </c>
      <c r="H55">
        <v>0.5</v>
      </c>
      <c r="I55" s="274" t="s">
        <v>315</v>
      </c>
      <c r="J55" s="245" t="s">
        <v>316</v>
      </c>
      <c r="K55" s="65" t="s">
        <v>173</v>
      </c>
    </row>
    <row r="56" spans="1:11">
      <c r="A56" s="246" t="s">
        <v>317</v>
      </c>
      <c r="B56" s="246"/>
      <c r="C56" s="246"/>
      <c r="D56" s="246"/>
      <c r="E56" s="246"/>
      <c r="F56" s="246">
        <v>0</v>
      </c>
      <c r="G56" s="246">
        <v>0.5</v>
      </c>
      <c r="H56" s="246">
        <v>0.5</v>
      </c>
      <c r="I56" s="246"/>
      <c r="J56" s="246"/>
      <c r="K56" s="246"/>
    </row>
    <row r="58" spans="1:11">
      <c r="A58" s="241" t="s">
        <v>318</v>
      </c>
      <c r="B58" s="241"/>
      <c r="C58" s="241"/>
      <c r="D58" s="241"/>
      <c r="E58" s="241"/>
      <c r="F58" s="241"/>
      <c r="G58" s="241"/>
      <c r="H58" s="241"/>
      <c r="I58" s="241"/>
      <c r="J58" s="241"/>
      <c r="K58" s="241"/>
    </row>
    <row r="59" ht="236" spans="1:11">
      <c r="A59" s="244" t="s">
        <v>319</v>
      </c>
      <c r="B59" s="245" t="s">
        <v>320</v>
      </c>
      <c r="C59" s="245" t="s">
        <v>321</v>
      </c>
      <c r="D59" s="245" t="s">
        <v>322</v>
      </c>
      <c r="E59" s="65" t="s">
        <v>253</v>
      </c>
      <c r="F59">
        <v>0</v>
      </c>
      <c r="G59">
        <v>1</v>
      </c>
      <c r="H59">
        <v>1</v>
      </c>
      <c r="I59" s="274" t="s">
        <v>323</v>
      </c>
      <c r="J59" s="65" t="s">
        <v>324</v>
      </c>
      <c r="K59" s="65" t="s">
        <v>173</v>
      </c>
    </row>
    <row r="60" spans="1:11">
      <c r="A60" s="246" t="s">
        <v>325</v>
      </c>
      <c r="B60" s="246"/>
      <c r="C60" s="246"/>
      <c r="D60" s="246"/>
      <c r="E60" s="246"/>
      <c r="F60" s="246">
        <v>0</v>
      </c>
      <c r="G60" s="246">
        <v>1</v>
      </c>
      <c r="H60" s="246">
        <v>1</v>
      </c>
      <c r="I60" s="246"/>
      <c r="J60" s="246"/>
      <c r="K60" s="246"/>
    </row>
    <row r="62" spans="1:11">
      <c r="A62" s="241" t="s">
        <v>326</v>
      </c>
      <c r="B62" s="241"/>
      <c r="C62" s="241"/>
      <c r="D62" s="241"/>
      <c r="E62" s="241"/>
      <c r="F62" s="241"/>
      <c r="G62" s="241"/>
      <c r="H62" s="241"/>
      <c r="I62" s="241"/>
      <c r="J62" s="241"/>
      <c r="K62" s="241"/>
    </row>
    <row r="63" ht="185" spans="1:11">
      <c r="A63" s="244" t="s">
        <v>327</v>
      </c>
      <c r="B63" s="245" t="s">
        <v>328</v>
      </c>
      <c r="C63" s="245" t="s">
        <v>329</v>
      </c>
      <c r="D63" s="245" t="s">
        <v>330</v>
      </c>
      <c r="E63" s="65" t="s">
        <v>253</v>
      </c>
      <c r="F63">
        <v>0</v>
      </c>
      <c r="G63">
        <v>1.5</v>
      </c>
      <c r="H63">
        <v>1.5</v>
      </c>
      <c r="I63" s="245" t="s">
        <v>302</v>
      </c>
      <c r="J63" s="245" t="s">
        <v>331</v>
      </c>
      <c r="K63" s="65" t="s">
        <v>193</v>
      </c>
    </row>
    <row r="64" spans="1:11">
      <c r="A64" s="246" t="s">
        <v>332</v>
      </c>
      <c r="B64" s="246"/>
      <c r="C64" s="246"/>
      <c r="D64" s="246"/>
      <c r="E64" s="246"/>
      <c r="F64" s="246">
        <v>0</v>
      </c>
      <c r="G64" s="246">
        <v>1.5</v>
      </c>
      <c r="H64" s="246">
        <v>1.5</v>
      </c>
      <c r="I64" s="246"/>
      <c r="J64" s="246"/>
      <c r="K64" s="246"/>
    </row>
    <row r="65" ht="17.6" spans="1:11">
      <c r="A65" s="275" t="s">
        <v>333</v>
      </c>
      <c r="B65" s="276"/>
      <c r="C65" s="276"/>
      <c r="D65" s="276"/>
      <c r="E65" s="280"/>
      <c r="F65" s="281">
        <v>16.5</v>
      </c>
      <c r="G65" s="281">
        <v>39</v>
      </c>
      <c r="H65" s="281">
        <v>55.5</v>
      </c>
      <c r="I65" s="282" t="s">
        <v>334</v>
      </c>
      <c r="J65" s="283"/>
      <c r="K65" s="283"/>
    </row>
    <row r="67" spans="1:1">
      <c r="A67" s="277" t="s">
        <v>335</v>
      </c>
    </row>
    <row r="68" ht="354" spans="1:11">
      <c r="A68" s="278" t="s">
        <v>336</v>
      </c>
      <c r="B68" s="276"/>
      <c r="C68" s="276"/>
      <c r="D68" s="276"/>
      <c r="E68" s="276"/>
      <c r="F68" s="276"/>
      <c r="G68" s="276"/>
      <c r="H68" s="276"/>
      <c r="I68" s="276"/>
      <c r="J68" s="276"/>
      <c r="K68" s="276"/>
    </row>
    <row r="69" ht="313" spans="1:11">
      <c r="A69" s="279" t="s">
        <v>337</v>
      </c>
      <c r="B69" s="276"/>
      <c r="C69" s="276"/>
      <c r="D69" s="276"/>
      <c r="E69" s="276"/>
      <c r="F69" s="276"/>
      <c r="G69" s="276"/>
      <c r="H69" s="276"/>
      <c r="I69" s="276"/>
      <c r="J69" s="276"/>
      <c r="K69" s="276"/>
    </row>
    <row r="70" ht="272" spans="1:11">
      <c r="A70" s="278" t="s">
        <v>338</v>
      </c>
      <c r="B70" s="276"/>
      <c r="C70" s="276"/>
      <c r="D70" s="276"/>
      <c r="E70" s="276"/>
      <c r="F70" s="276"/>
      <c r="G70" s="276"/>
      <c r="H70" s="276"/>
      <c r="I70" s="276"/>
      <c r="J70" s="276"/>
      <c r="K70" s="276"/>
    </row>
    <row r="71" ht="368" spans="1:11">
      <c r="A71" s="278" t="s">
        <v>339</v>
      </c>
      <c r="B71" s="276"/>
      <c r="C71" s="276"/>
      <c r="D71" s="276"/>
      <c r="E71" s="276"/>
      <c r="F71" s="276"/>
      <c r="G71" s="276"/>
      <c r="H71" s="276"/>
      <c r="I71" s="276"/>
      <c r="J71" s="276"/>
      <c r="K71" s="276"/>
    </row>
    <row r="72" ht="354" spans="1:11">
      <c r="A72" s="278" t="s">
        <v>340</v>
      </c>
      <c r="B72" s="276"/>
      <c r="C72" s="276"/>
      <c r="D72" s="276"/>
      <c r="E72" s="276"/>
      <c r="F72" s="276"/>
      <c r="G72" s="276"/>
      <c r="H72" s="276"/>
      <c r="I72" s="276"/>
      <c r="J72" s="276"/>
      <c r="K72" s="276"/>
    </row>
    <row r="73" ht="409.5" spans="1:11">
      <c r="A73" s="279" t="s">
        <v>341</v>
      </c>
      <c r="B73" s="276"/>
      <c r="C73" s="276"/>
      <c r="D73" s="276"/>
      <c r="E73" s="276"/>
      <c r="F73" s="276"/>
      <c r="G73" s="276"/>
      <c r="H73" s="276"/>
      <c r="I73" s="276"/>
      <c r="J73" s="276"/>
      <c r="K73" s="276"/>
    </row>
  </sheetData>
  <mergeCells count="16">
    <mergeCell ref="A1:K1"/>
    <mergeCell ref="A2:K2"/>
    <mergeCell ref="A5:K5"/>
    <mergeCell ref="A13:E13"/>
    <mergeCell ref="A15:K15"/>
    <mergeCell ref="A21:E21"/>
    <mergeCell ref="A23:K23"/>
    <mergeCell ref="A30:E30"/>
    <mergeCell ref="A33:E33"/>
    <mergeCell ref="A35:K35"/>
    <mergeCell ref="A36:K36"/>
    <mergeCell ref="A37:K37"/>
    <mergeCell ref="A38:K38"/>
    <mergeCell ref="A39:K39"/>
    <mergeCell ref="A40:K40"/>
    <mergeCell ref="A41:K41"/>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topLeftCell="A29" workbookViewId="0">
      <selection activeCell="A13" sqref="A13"/>
    </sheetView>
  </sheetViews>
  <sheetFormatPr defaultColWidth="9.23076923076923" defaultRowHeight="16.8" outlineLevelCol="7"/>
  <cols>
    <col min="1" max="1" width="32.3557692307692" customWidth="1"/>
    <col min="2" max="2" width="27.0769230769231" customWidth="1"/>
    <col min="3" max="3" width="89.9134615384615" customWidth="1"/>
    <col min="6" max="6" width="63.9423076923077" customWidth="1"/>
  </cols>
  <sheetData>
    <row r="1" ht="45.75" customHeight="1" spans="1:8">
      <c r="A1" s="201" t="s">
        <v>342</v>
      </c>
      <c r="B1" s="201" t="s">
        <v>343</v>
      </c>
      <c r="C1" s="201" t="s">
        <v>344</v>
      </c>
      <c r="D1" s="201" t="s">
        <v>345</v>
      </c>
      <c r="E1" s="201" t="s">
        <v>346</v>
      </c>
      <c r="F1" s="201" t="s">
        <v>347</v>
      </c>
      <c r="G1" s="201" t="s">
        <v>348</v>
      </c>
      <c r="H1" s="201" t="s">
        <v>95</v>
      </c>
    </row>
    <row r="2" ht="45.75" customHeight="1" spans="1:8">
      <c r="A2" s="202" t="s">
        <v>349</v>
      </c>
      <c r="B2" s="203"/>
      <c r="C2" s="203"/>
      <c r="D2" s="203"/>
      <c r="E2" s="203"/>
      <c r="F2" s="203"/>
      <c r="G2" s="203"/>
      <c r="H2" s="203"/>
    </row>
    <row r="3" ht="45.75" customHeight="1" spans="1:8">
      <c r="A3" s="204"/>
      <c r="B3" s="205" t="s">
        <v>350</v>
      </c>
      <c r="C3" s="206" t="s">
        <v>351</v>
      </c>
      <c r="D3" s="204">
        <v>0</v>
      </c>
      <c r="E3" s="204">
        <v>2</v>
      </c>
      <c r="F3" s="214" t="s">
        <v>352</v>
      </c>
      <c r="G3" s="204" t="s">
        <v>353</v>
      </c>
      <c r="H3" s="204"/>
    </row>
    <row r="4" ht="45.75" customHeight="1" spans="1:8">
      <c r="A4" s="204"/>
      <c r="B4" s="206" t="s">
        <v>354</v>
      </c>
      <c r="C4" s="206" t="s">
        <v>355</v>
      </c>
      <c r="D4" s="204">
        <v>0</v>
      </c>
      <c r="E4" s="204">
        <v>0.5</v>
      </c>
      <c r="F4" s="214" t="s">
        <v>356</v>
      </c>
      <c r="G4" s="204" t="s">
        <v>353</v>
      </c>
      <c r="H4" s="204" t="s">
        <v>357</v>
      </c>
    </row>
    <row r="5" s="89" customFormat="1" ht="45.75" customHeight="1" spans="1:8">
      <c r="A5" s="207" t="s">
        <v>358</v>
      </c>
      <c r="B5" s="208" t="s">
        <v>359</v>
      </c>
      <c r="C5" s="209"/>
      <c r="D5" s="209"/>
      <c r="E5" s="209"/>
      <c r="F5" s="209"/>
      <c r="G5" s="209"/>
      <c r="H5" s="209"/>
    </row>
    <row r="6" s="89" customFormat="1" ht="45.75" customHeight="1" spans="1:8">
      <c r="A6" s="210"/>
      <c r="B6" s="211" t="s">
        <v>360</v>
      </c>
      <c r="C6" s="211" t="s">
        <v>361</v>
      </c>
      <c r="D6" s="210">
        <v>0</v>
      </c>
      <c r="E6" s="210">
        <v>2.5</v>
      </c>
      <c r="F6" s="212" t="s">
        <v>362</v>
      </c>
      <c r="G6" s="210" t="s">
        <v>353</v>
      </c>
      <c r="H6" s="210"/>
    </row>
    <row r="7" s="89" customFormat="1" ht="45.75" customHeight="1" spans="1:8">
      <c r="A7" s="210"/>
      <c r="B7" s="211" t="s">
        <v>363</v>
      </c>
      <c r="C7" s="211" t="s">
        <v>364</v>
      </c>
      <c r="D7" s="210">
        <v>0</v>
      </c>
      <c r="E7" s="210">
        <v>2</v>
      </c>
      <c r="F7" s="211" t="s">
        <v>365</v>
      </c>
      <c r="G7" s="210" t="s">
        <v>353</v>
      </c>
      <c r="H7" s="210"/>
    </row>
    <row r="8" s="89" customFormat="1" ht="45.75" customHeight="1" spans="1:8">
      <c r="A8" s="210"/>
      <c r="B8" s="211" t="s">
        <v>366</v>
      </c>
      <c r="C8" s="211" t="s">
        <v>367</v>
      </c>
      <c r="D8" s="210">
        <v>0</v>
      </c>
      <c r="E8" s="210">
        <v>2</v>
      </c>
      <c r="F8" s="211" t="s">
        <v>368</v>
      </c>
      <c r="G8" s="210" t="s">
        <v>353</v>
      </c>
      <c r="H8" s="210"/>
    </row>
    <row r="9" s="89" customFormat="1" ht="45.75" customHeight="1" spans="1:8">
      <c r="A9" s="210"/>
      <c r="B9" s="211" t="s">
        <v>369</v>
      </c>
      <c r="C9" s="212" t="s">
        <v>370</v>
      </c>
      <c r="D9" s="210">
        <v>1.5</v>
      </c>
      <c r="E9" s="210">
        <v>1</v>
      </c>
      <c r="F9" s="211" t="s">
        <v>371</v>
      </c>
      <c r="G9" s="210" t="s">
        <v>372</v>
      </c>
      <c r="H9" s="210"/>
    </row>
    <row r="10" s="89" customFormat="1" ht="45.75" customHeight="1" spans="1:8">
      <c r="A10" s="210"/>
      <c r="B10" s="211" t="s">
        <v>373</v>
      </c>
      <c r="C10" s="211" t="s">
        <v>374</v>
      </c>
      <c r="D10" s="210">
        <v>1</v>
      </c>
      <c r="E10" s="210">
        <v>0.5</v>
      </c>
      <c r="F10" s="211" t="s">
        <v>375</v>
      </c>
      <c r="G10" s="210" t="s">
        <v>372</v>
      </c>
      <c r="H10" s="210"/>
    </row>
    <row r="11" ht="45.75" customHeight="1" spans="1:8">
      <c r="A11" s="213" t="s">
        <v>376</v>
      </c>
      <c r="B11" s="203"/>
      <c r="C11" s="203"/>
      <c r="D11" s="203"/>
      <c r="E11" s="203"/>
      <c r="F11" s="203"/>
      <c r="G11" s="203"/>
      <c r="H11" s="203"/>
    </row>
    <row r="12" ht="45.75" customHeight="1" spans="1:8">
      <c r="A12" s="204"/>
      <c r="B12" s="206" t="s">
        <v>377</v>
      </c>
      <c r="C12" s="206" t="s">
        <v>378</v>
      </c>
      <c r="D12" s="204">
        <v>1.5</v>
      </c>
      <c r="E12" s="204">
        <v>1.5</v>
      </c>
      <c r="F12" s="206" t="s">
        <v>379</v>
      </c>
      <c r="G12" s="204" t="s">
        <v>372</v>
      </c>
      <c r="H12" s="204"/>
    </row>
    <row r="13" ht="45.75" customHeight="1" spans="1:8">
      <c r="A13" s="204"/>
      <c r="B13" s="214" t="s">
        <v>380</v>
      </c>
      <c r="C13" s="206" t="s">
        <v>381</v>
      </c>
      <c r="D13" s="204">
        <v>1</v>
      </c>
      <c r="E13" s="204">
        <v>1</v>
      </c>
      <c r="F13" s="214" t="s">
        <v>382</v>
      </c>
      <c r="G13" s="204" t="s">
        <v>372</v>
      </c>
      <c r="H13" s="204"/>
    </row>
    <row r="14" ht="45.75" customHeight="1" spans="1:8">
      <c r="A14" s="204"/>
      <c r="B14" s="206" t="s">
        <v>383</v>
      </c>
      <c r="C14" s="206" t="s">
        <v>384</v>
      </c>
      <c r="D14" s="204">
        <v>0.5</v>
      </c>
      <c r="E14" s="204">
        <v>0.5</v>
      </c>
      <c r="F14" s="206" t="s">
        <v>385</v>
      </c>
      <c r="G14" s="204" t="s">
        <v>372</v>
      </c>
      <c r="H14" s="204"/>
    </row>
    <row r="15" ht="45.75" customHeight="1" spans="1:8">
      <c r="A15" s="202" t="s">
        <v>386</v>
      </c>
      <c r="B15" s="203"/>
      <c r="C15" s="203"/>
      <c r="D15" s="203"/>
      <c r="E15" s="203"/>
      <c r="F15" s="203"/>
      <c r="G15" s="203"/>
      <c r="H15" s="203"/>
    </row>
    <row r="16" ht="45.75" customHeight="1" spans="1:8">
      <c r="A16" s="204"/>
      <c r="B16" s="206" t="s">
        <v>387</v>
      </c>
      <c r="C16" s="206" t="s">
        <v>388</v>
      </c>
      <c r="D16" s="204">
        <v>0</v>
      </c>
      <c r="E16" s="204">
        <v>1</v>
      </c>
      <c r="F16" s="214" t="s">
        <v>389</v>
      </c>
      <c r="G16" s="204" t="s">
        <v>353</v>
      </c>
      <c r="H16" s="204"/>
    </row>
    <row r="17" ht="45.75" customHeight="1" spans="1:8">
      <c r="A17" s="204"/>
      <c r="B17" s="206" t="s">
        <v>390</v>
      </c>
      <c r="C17" s="206" t="s">
        <v>391</v>
      </c>
      <c r="D17" s="204">
        <v>1</v>
      </c>
      <c r="E17" s="204">
        <v>1</v>
      </c>
      <c r="F17" s="206" t="s">
        <v>392</v>
      </c>
      <c r="G17" s="204" t="s">
        <v>372</v>
      </c>
      <c r="H17" s="204"/>
    </row>
    <row r="18" ht="45.75" customHeight="1" spans="1:8">
      <c r="A18" s="204"/>
      <c r="B18" s="206" t="s">
        <v>393</v>
      </c>
      <c r="C18" s="206" t="s">
        <v>394</v>
      </c>
      <c r="D18" s="204">
        <v>0.5</v>
      </c>
      <c r="E18" s="204">
        <v>0.5</v>
      </c>
      <c r="F18" s="206" t="s">
        <v>395</v>
      </c>
      <c r="G18" s="204" t="s">
        <v>372</v>
      </c>
      <c r="H18" s="204"/>
    </row>
    <row r="19" ht="45.75" customHeight="1" spans="1:8">
      <c r="A19" s="213" t="s">
        <v>396</v>
      </c>
      <c r="B19" s="203"/>
      <c r="C19" s="203"/>
      <c r="D19" s="203"/>
      <c r="E19" s="203"/>
      <c r="F19" s="203"/>
      <c r="G19" s="203"/>
      <c r="H19" s="203"/>
    </row>
    <row r="20" ht="45.75" customHeight="1" spans="1:8">
      <c r="A20" s="204"/>
      <c r="B20" s="206" t="s">
        <v>397</v>
      </c>
      <c r="C20" s="206" t="s">
        <v>398</v>
      </c>
      <c r="D20" s="204">
        <v>2</v>
      </c>
      <c r="E20" s="204">
        <v>1</v>
      </c>
      <c r="F20" s="206" t="s">
        <v>399</v>
      </c>
      <c r="G20" s="204" t="s">
        <v>372</v>
      </c>
      <c r="H20" s="204"/>
    </row>
    <row r="21" ht="45.75" customHeight="1" spans="1:8">
      <c r="A21" s="204"/>
      <c r="B21" s="206" t="s">
        <v>400</v>
      </c>
      <c r="C21" s="206" t="s">
        <v>401</v>
      </c>
      <c r="D21" s="204">
        <v>0.5</v>
      </c>
      <c r="E21" s="204">
        <v>0</v>
      </c>
      <c r="F21" s="206" t="s">
        <v>402</v>
      </c>
      <c r="G21" s="204" t="s">
        <v>403</v>
      </c>
      <c r="H21" s="204"/>
    </row>
    <row r="22" ht="45.75" customHeight="1" spans="1:8">
      <c r="A22" s="204"/>
      <c r="B22" s="206" t="s">
        <v>404</v>
      </c>
      <c r="C22" s="206" t="s">
        <v>405</v>
      </c>
      <c r="D22" s="204">
        <v>1</v>
      </c>
      <c r="E22" s="204">
        <v>0.5</v>
      </c>
      <c r="F22" s="206" t="s">
        <v>406</v>
      </c>
      <c r="G22" s="204" t="s">
        <v>372</v>
      </c>
      <c r="H22" s="204"/>
    </row>
    <row r="23" ht="45.75" customHeight="1" spans="1:8">
      <c r="A23" s="213" t="s">
        <v>407</v>
      </c>
      <c r="B23" s="203"/>
      <c r="C23" s="203"/>
      <c r="D23" s="203"/>
      <c r="E23" s="203"/>
      <c r="F23" s="203"/>
      <c r="G23" s="203"/>
      <c r="H23" s="203"/>
    </row>
    <row r="24" ht="45.75" customHeight="1" spans="1:8">
      <c r="A24" s="204"/>
      <c r="B24" s="206" t="s">
        <v>408</v>
      </c>
      <c r="C24" s="206" t="s">
        <v>409</v>
      </c>
      <c r="D24" s="204">
        <v>1.5</v>
      </c>
      <c r="E24" s="204">
        <v>0.5</v>
      </c>
      <c r="F24" s="206" t="s">
        <v>410</v>
      </c>
      <c r="G24" s="204" t="s">
        <v>372</v>
      </c>
      <c r="H24" s="204"/>
    </row>
    <row r="25" ht="45.75" customHeight="1" spans="1:8">
      <c r="A25" s="204"/>
      <c r="B25" s="206" t="s">
        <v>411</v>
      </c>
      <c r="C25" s="206" t="s">
        <v>412</v>
      </c>
      <c r="D25" s="204">
        <v>1</v>
      </c>
      <c r="E25" s="204">
        <v>0.5</v>
      </c>
      <c r="F25" s="206" t="s">
        <v>413</v>
      </c>
      <c r="G25" s="204" t="s">
        <v>372</v>
      </c>
      <c r="H25" s="204"/>
    </row>
    <row r="26" ht="45.75" customHeight="1" spans="1:8">
      <c r="A26" s="204"/>
      <c r="B26" s="206" t="s">
        <v>414</v>
      </c>
      <c r="C26" s="206" t="s">
        <v>415</v>
      </c>
      <c r="D26" s="204">
        <v>1.5</v>
      </c>
      <c r="E26" s="204">
        <v>0.5</v>
      </c>
      <c r="F26" s="206" t="s">
        <v>416</v>
      </c>
      <c r="G26" s="204" t="s">
        <v>372</v>
      </c>
      <c r="H26" s="204"/>
    </row>
    <row r="27" ht="45.75" customHeight="1" spans="1:8">
      <c r="A27" s="213" t="s">
        <v>417</v>
      </c>
      <c r="B27" s="203"/>
      <c r="C27" s="203"/>
      <c r="D27" s="203"/>
      <c r="E27" s="203"/>
      <c r="F27" s="203"/>
      <c r="G27" s="203"/>
      <c r="H27" s="203"/>
    </row>
    <row r="28" ht="45.75" customHeight="1" spans="1:8">
      <c r="A28" s="204"/>
      <c r="B28" s="214" t="s">
        <v>418</v>
      </c>
      <c r="C28" s="206" t="s">
        <v>419</v>
      </c>
      <c r="D28" s="204">
        <v>2</v>
      </c>
      <c r="E28" s="204">
        <v>0.5</v>
      </c>
      <c r="F28" s="214" t="s">
        <v>420</v>
      </c>
      <c r="G28" s="204" t="s">
        <v>372</v>
      </c>
      <c r="H28" s="204"/>
    </row>
    <row r="29" ht="45.75" customHeight="1" spans="1:8">
      <c r="A29" s="204"/>
      <c r="B29" s="214" t="s">
        <v>421</v>
      </c>
      <c r="C29" s="214" t="s">
        <v>422</v>
      </c>
      <c r="D29" s="204">
        <v>1</v>
      </c>
      <c r="E29" s="204">
        <v>0.5</v>
      </c>
      <c r="F29" s="214" t="s">
        <v>423</v>
      </c>
      <c r="G29" s="204" t="s">
        <v>372</v>
      </c>
      <c r="H29" s="204"/>
    </row>
    <row r="30" ht="45.75" customHeight="1" spans="1:8">
      <c r="A30" s="202" t="s">
        <v>424</v>
      </c>
      <c r="B30" s="203"/>
      <c r="C30" s="203"/>
      <c r="D30" s="203"/>
      <c r="E30" s="203"/>
      <c r="F30" s="203"/>
      <c r="G30" s="203"/>
      <c r="H30" s="203"/>
    </row>
    <row r="31" ht="45.75" customHeight="1" spans="1:8">
      <c r="A31" s="204"/>
      <c r="B31" s="206" t="s">
        <v>425</v>
      </c>
      <c r="C31" s="206" t="s">
        <v>426</v>
      </c>
      <c r="D31" s="204">
        <v>0.5</v>
      </c>
      <c r="E31" s="204">
        <v>0.5</v>
      </c>
      <c r="F31" s="206" t="s">
        <v>427</v>
      </c>
      <c r="G31" s="204" t="s">
        <v>372</v>
      </c>
      <c r="H31" s="204"/>
    </row>
    <row r="32" ht="45.75" customHeight="1" spans="1:8">
      <c r="A32" s="204"/>
      <c r="B32" s="206" t="s">
        <v>428</v>
      </c>
      <c r="C32" s="214" t="s">
        <v>429</v>
      </c>
      <c r="D32" s="204">
        <v>0</v>
      </c>
      <c r="E32" s="204">
        <v>1</v>
      </c>
      <c r="F32" s="214" t="s">
        <v>430</v>
      </c>
      <c r="G32" s="204" t="s">
        <v>353</v>
      </c>
      <c r="H32" s="204"/>
    </row>
    <row r="33" ht="45.75" customHeight="1" spans="1:8">
      <c r="A33" s="215" t="s">
        <v>431</v>
      </c>
      <c r="B33" s="215" t="s">
        <v>432</v>
      </c>
      <c r="C33" s="215"/>
      <c r="D33" s="215">
        <v>18</v>
      </c>
      <c r="E33" s="215">
        <v>21.5</v>
      </c>
      <c r="F33" s="215">
        <v>39.5</v>
      </c>
      <c r="G33" s="215"/>
      <c r="H33" s="215"/>
    </row>
  </sheetData>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4"/>
  <sheetViews>
    <sheetView topLeftCell="A2" workbookViewId="0">
      <selection activeCell="B2" sqref="B2"/>
    </sheetView>
  </sheetViews>
  <sheetFormatPr defaultColWidth="9" defaultRowHeight="16.8"/>
  <cols>
    <col min="1" max="1" width="22.1057692307692" customWidth="1"/>
    <col min="2" max="2" width="26" customWidth="1"/>
    <col min="3" max="3" width="87.8076923076923" customWidth="1"/>
    <col min="4" max="5" width="13" customWidth="1"/>
    <col min="6" max="6" width="42" customWidth="1"/>
    <col min="7" max="7" width="16" customWidth="1"/>
    <col min="8" max="8" width="14" customWidth="1"/>
  </cols>
  <sheetData>
    <row r="1" ht="33.75" customHeight="1" spans="1:8">
      <c r="A1" s="178" t="s">
        <v>342</v>
      </c>
      <c r="B1" s="178" t="s">
        <v>343</v>
      </c>
      <c r="C1" s="178" t="s">
        <v>344</v>
      </c>
      <c r="D1" s="178" t="s">
        <v>345</v>
      </c>
      <c r="E1" s="178" t="s">
        <v>346</v>
      </c>
      <c r="F1" s="178" t="s">
        <v>347</v>
      </c>
      <c r="G1" s="178" t="s">
        <v>348</v>
      </c>
      <c r="H1" s="178" t="s">
        <v>95</v>
      </c>
    </row>
    <row r="2" ht="16.5" customHeight="1" spans="1:7">
      <c r="A2" s="179" t="s">
        <v>433</v>
      </c>
      <c r="B2" s="180" t="s">
        <v>434</v>
      </c>
      <c r="C2" s="179"/>
      <c r="D2" s="179"/>
      <c r="E2" s="179"/>
      <c r="F2" s="179"/>
      <c r="G2" s="179"/>
    </row>
    <row r="3" s="89" customFormat="1" ht="45.75" customHeight="1" spans="1:9">
      <c r="A3" s="181"/>
      <c r="B3" s="182" t="s">
        <v>435</v>
      </c>
      <c r="C3" s="182" t="s">
        <v>436</v>
      </c>
      <c r="D3" s="183">
        <v>0</v>
      </c>
      <c r="E3" s="183">
        <v>0</v>
      </c>
      <c r="F3" s="181" t="s">
        <v>437</v>
      </c>
      <c r="G3" s="182" t="s">
        <v>353</v>
      </c>
      <c r="H3" s="195" t="s">
        <v>438</v>
      </c>
      <c r="I3" s="200" t="s">
        <v>434</v>
      </c>
    </row>
    <row r="4" s="89" customFormat="1" ht="45.75" customHeight="1" spans="1:8">
      <c r="A4" s="182"/>
      <c r="B4" s="182" t="s">
        <v>439</v>
      </c>
      <c r="C4" s="182" t="s">
        <v>440</v>
      </c>
      <c r="D4" s="183">
        <v>0</v>
      </c>
      <c r="E4" s="183">
        <v>1.5</v>
      </c>
      <c r="F4" s="181" t="s">
        <v>441</v>
      </c>
      <c r="G4" s="182" t="s">
        <v>353</v>
      </c>
      <c r="H4" s="196"/>
    </row>
    <row r="5" s="89" customFormat="1" ht="45.75" customHeight="1" spans="1:8">
      <c r="A5" s="182"/>
      <c r="B5" s="182" t="s">
        <v>442</v>
      </c>
      <c r="C5" s="182" t="s">
        <v>443</v>
      </c>
      <c r="D5" s="183">
        <v>0</v>
      </c>
      <c r="E5" s="183">
        <v>0</v>
      </c>
      <c r="F5" s="182" t="s">
        <v>444</v>
      </c>
      <c r="G5" s="182" t="s">
        <v>353</v>
      </c>
      <c r="H5" s="195" t="s">
        <v>438</v>
      </c>
    </row>
    <row r="6" ht="16.5" customHeight="1" spans="1:7">
      <c r="A6" s="179" t="s">
        <v>445</v>
      </c>
      <c r="B6" s="179"/>
      <c r="C6" s="179"/>
      <c r="D6" s="179"/>
      <c r="E6" s="179"/>
      <c r="F6" s="179"/>
      <c r="G6" s="179"/>
    </row>
    <row r="7" s="89" customFormat="1" ht="57" customHeight="1" spans="1:8">
      <c r="A7" s="182"/>
      <c r="B7" s="182" t="s">
        <v>446</v>
      </c>
      <c r="C7" s="182" t="s">
        <v>447</v>
      </c>
      <c r="D7" s="183">
        <v>0</v>
      </c>
      <c r="E7" s="183">
        <v>0</v>
      </c>
      <c r="F7" s="181" t="s">
        <v>448</v>
      </c>
      <c r="G7" s="182" t="s">
        <v>372</v>
      </c>
      <c r="H7" s="195" t="s">
        <v>438</v>
      </c>
    </row>
    <row r="8" s="89" customFormat="1" ht="57" customHeight="1" spans="1:8">
      <c r="A8" s="182"/>
      <c r="B8" s="182" t="s">
        <v>449</v>
      </c>
      <c r="C8" s="182" t="s">
        <v>450</v>
      </c>
      <c r="D8" s="183">
        <v>0</v>
      </c>
      <c r="E8" s="183">
        <v>0</v>
      </c>
      <c r="F8" s="181" t="s">
        <v>451</v>
      </c>
      <c r="G8" s="182" t="s">
        <v>372</v>
      </c>
      <c r="H8" s="195" t="s">
        <v>438</v>
      </c>
    </row>
    <row r="9" s="90" customFormat="1" ht="57" customHeight="1" spans="1:8">
      <c r="A9" s="184"/>
      <c r="B9" s="184" t="s">
        <v>452</v>
      </c>
      <c r="C9" s="184" t="s">
        <v>453</v>
      </c>
      <c r="D9" s="185">
        <v>0.5</v>
      </c>
      <c r="E9" s="185">
        <v>1</v>
      </c>
      <c r="F9" s="197" t="s">
        <v>454</v>
      </c>
      <c r="G9" s="184" t="s">
        <v>372</v>
      </c>
      <c r="H9" s="198"/>
    </row>
    <row r="10" s="89" customFormat="1" ht="57" customHeight="1" spans="1:8">
      <c r="A10" s="182"/>
      <c r="B10" s="182" t="s">
        <v>455</v>
      </c>
      <c r="C10" s="181" t="s">
        <v>456</v>
      </c>
      <c r="D10" s="183">
        <v>0</v>
      </c>
      <c r="E10" s="183">
        <v>0</v>
      </c>
      <c r="F10" s="181" t="s">
        <v>457</v>
      </c>
      <c r="G10" s="182" t="s">
        <v>353</v>
      </c>
      <c r="H10" s="195" t="s">
        <v>438</v>
      </c>
    </row>
    <row r="11" s="89" customFormat="1" ht="57" customHeight="1" spans="1:8">
      <c r="A11" s="182"/>
      <c r="B11" s="182" t="s">
        <v>383</v>
      </c>
      <c r="C11" s="182" t="s">
        <v>458</v>
      </c>
      <c r="D11" s="183">
        <v>1</v>
      </c>
      <c r="E11" s="183">
        <v>0.5</v>
      </c>
      <c r="F11" s="182" t="s">
        <v>459</v>
      </c>
      <c r="G11" s="182" t="s">
        <v>372</v>
      </c>
      <c r="H11" s="196"/>
    </row>
    <row r="12" ht="16.5" customHeight="1" spans="1:7">
      <c r="A12" s="179" t="s">
        <v>460</v>
      </c>
      <c r="B12" s="179"/>
      <c r="C12" s="179"/>
      <c r="D12" s="179"/>
      <c r="E12" s="179"/>
      <c r="F12" s="179"/>
      <c r="G12" s="179"/>
    </row>
    <row r="13" ht="45.75" customHeight="1" spans="1:8">
      <c r="A13" s="186"/>
      <c r="B13" s="186" t="s">
        <v>461</v>
      </c>
      <c r="C13" s="186" t="s">
        <v>462</v>
      </c>
      <c r="D13" s="187">
        <v>0.5</v>
      </c>
      <c r="E13" s="187">
        <v>0</v>
      </c>
      <c r="F13" s="188" t="s">
        <v>463</v>
      </c>
      <c r="G13" s="186" t="s">
        <v>403</v>
      </c>
      <c r="H13" s="199"/>
    </row>
    <row r="14" ht="45.75" customHeight="1" spans="1:8">
      <c r="A14" s="186"/>
      <c r="B14" s="186" t="s">
        <v>464</v>
      </c>
      <c r="C14" s="186" t="s">
        <v>465</v>
      </c>
      <c r="D14" s="187">
        <v>1.5</v>
      </c>
      <c r="E14" s="187">
        <v>1.5</v>
      </c>
      <c r="F14" s="188" t="s">
        <v>466</v>
      </c>
      <c r="G14" s="186" t="s">
        <v>372</v>
      </c>
      <c r="H14" s="199"/>
    </row>
    <row r="15" ht="45.75" customHeight="1" spans="1:8">
      <c r="A15" s="186"/>
      <c r="B15" s="186" t="s">
        <v>467</v>
      </c>
      <c r="C15" s="186" t="s">
        <v>468</v>
      </c>
      <c r="D15" s="187">
        <v>0.5</v>
      </c>
      <c r="E15" s="187">
        <v>0.5</v>
      </c>
      <c r="F15" s="186" t="s">
        <v>469</v>
      </c>
      <c r="G15" s="186" t="s">
        <v>372</v>
      </c>
      <c r="H15" s="199"/>
    </row>
    <row r="16" ht="45.75" customHeight="1" spans="1:8">
      <c r="A16" s="186"/>
      <c r="B16" s="188" t="s">
        <v>470</v>
      </c>
      <c r="C16" s="186" t="s">
        <v>471</v>
      </c>
      <c r="D16" s="187">
        <v>0</v>
      </c>
      <c r="E16" s="187">
        <v>1</v>
      </c>
      <c r="F16" s="188" t="s">
        <v>472</v>
      </c>
      <c r="G16" s="186" t="s">
        <v>353</v>
      </c>
      <c r="H16" s="199"/>
    </row>
    <row r="17" ht="45.75" customHeight="1" spans="1:8">
      <c r="A17" s="186"/>
      <c r="B17" s="186" t="s">
        <v>473</v>
      </c>
      <c r="C17" s="186" t="s">
        <v>474</v>
      </c>
      <c r="D17" s="187">
        <v>1</v>
      </c>
      <c r="E17" s="187">
        <v>0.5</v>
      </c>
      <c r="F17" s="186" t="s">
        <v>475</v>
      </c>
      <c r="G17" s="186" t="s">
        <v>372</v>
      </c>
      <c r="H17" s="199"/>
    </row>
    <row r="18" ht="45.75" customHeight="1" spans="1:8">
      <c r="A18" s="186"/>
      <c r="B18" s="186" t="s">
        <v>476</v>
      </c>
      <c r="C18" s="186" t="s">
        <v>477</v>
      </c>
      <c r="D18" s="187">
        <v>1</v>
      </c>
      <c r="E18" s="187">
        <v>1</v>
      </c>
      <c r="F18" s="188" t="s">
        <v>478</v>
      </c>
      <c r="G18" s="186" t="s">
        <v>372</v>
      </c>
      <c r="H18" s="199"/>
    </row>
    <row r="19" ht="45.75" customHeight="1" spans="1:8">
      <c r="A19" s="186"/>
      <c r="B19" s="186" t="s">
        <v>479</v>
      </c>
      <c r="C19" s="186" t="s">
        <v>480</v>
      </c>
      <c r="D19" s="187">
        <v>0.5</v>
      </c>
      <c r="E19" s="187">
        <v>0.5</v>
      </c>
      <c r="F19" s="186" t="s">
        <v>481</v>
      </c>
      <c r="G19" s="186" t="s">
        <v>372</v>
      </c>
      <c r="H19" s="199"/>
    </row>
    <row r="20" ht="45.75" customHeight="1" spans="1:8">
      <c r="A20" s="186"/>
      <c r="B20" s="186" t="s">
        <v>482</v>
      </c>
      <c r="C20" s="186" t="s">
        <v>483</v>
      </c>
      <c r="D20" s="187">
        <v>0.5</v>
      </c>
      <c r="E20" s="187">
        <v>0.5</v>
      </c>
      <c r="F20" s="188" t="s">
        <v>484</v>
      </c>
      <c r="G20" s="186" t="s">
        <v>372</v>
      </c>
      <c r="H20" s="199"/>
    </row>
    <row r="21" ht="16.5" customHeight="1" spans="1:7">
      <c r="A21" s="179" t="s">
        <v>485</v>
      </c>
      <c r="B21" s="179"/>
      <c r="C21" s="179"/>
      <c r="D21" s="179"/>
      <c r="E21" s="179"/>
      <c r="F21" s="179"/>
      <c r="G21" s="179"/>
    </row>
    <row r="22" ht="63.75" customHeight="1" spans="1:8">
      <c r="A22" s="186"/>
      <c r="B22" s="186" t="s">
        <v>486</v>
      </c>
      <c r="C22" s="186" t="s">
        <v>487</v>
      </c>
      <c r="D22" s="187">
        <v>1</v>
      </c>
      <c r="E22" s="187">
        <v>0.5</v>
      </c>
      <c r="F22" s="186" t="s">
        <v>488</v>
      </c>
      <c r="G22" s="186" t="s">
        <v>372</v>
      </c>
      <c r="H22" s="199"/>
    </row>
    <row r="23" ht="63.75" customHeight="1" spans="1:8">
      <c r="A23" s="186"/>
      <c r="B23" s="186" t="s">
        <v>489</v>
      </c>
      <c r="C23" s="186" t="s">
        <v>490</v>
      </c>
      <c r="D23" s="187">
        <v>1</v>
      </c>
      <c r="E23" s="187">
        <v>1</v>
      </c>
      <c r="F23" s="186" t="s">
        <v>491</v>
      </c>
      <c r="G23" s="186" t="s">
        <v>372</v>
      </c>
      <c r="H23" s="199"/>
    </row>
    <row r="24" ht="63.75" customHeight="1" spans="1:8">
      <c r="A24" s="186"/>
      <c r="B24" s="186" t="s">
        <v>492</v>
      </c>
      <c r="C24" s="186" t="s">
        <v>493</v>
      </c>
      <c r="D24" s="187">
        <v>0.5</v>
      </c>
      <c r="E24" s="187">
        <v>0.5</v>
      </c>
      <c r="F24" s="186" t="s">
        <v>494</v>
      </c>
      <c r="G24" s="186" t="s">
        <v>372</v>
      </c>
      <c r="H24" s="199"/>
    </row>
    <row r="25" ht="63.75" customHeight="1" spans="1:8">
      <c r="A25" s="186"/>
      <c r="B25" s="186" t="s">
        <v>495</v>
      </c>
      <c r="C25" s="186" t="s">
        <v>496</v>
      </c>
      <c r="D25" s="187">
        <v>0</v>
      </c>
      <c r="E25" s="187">
        <v>1</v>
      </c>
      <c r="F25" s="186" t="s">
        <v>497</v>
      </c>
      <c r="G25" s="186" t="s">
        <v>353</v>
      </c>
      <c r="H25" s="199"/>
    </row>
    <row r="26" ht="16.5" customHeight="1" spans="1:7">
      <c r="A26" s="179" t="s">
        <v>498</v>
      </c>
      <c r="B26" s="179"/>
      <c r="C26" s="179"/>
      <c r="D26" s="179"/>
      <c r="E26" s="179"/>
      <c r="F26" s="179"/>
      <c r="G26" s="179"/>
    </row>
    <row r="27" ht="85.5" customHeight="1" spans="1:8">
      <c r="A27" s="186"/>
      <c r="B27" s="186" t="s">
        <v>499</v>
      </c>
      <c r="C27" s="186" t="s">
        <v>500</v>
      </c>
      <c r="D27" s="187">
        <v>0</v>
      </c>
      <c r="E27" s="187">
        <v>1</v>
      </c>
      <c r="F27" s="186" t="s">
        <v>501</v>
      </c>
      <c r="G27" s="186" t="s">
        <v>353</v>
      </c>
      <c r="H27" s="199"/>
    </row>
    <row r="28" ht="85.5" customHeight="1" spans="1:8">
      <c r="A28" s="186"/>
      <c r="B28" s="186" t="s">
        <v>502</v>
      </c>
      <c r="C28" s="186" t="s">
        <v>503</v>
      </c>
      <c r="D28" s="187">
        <v>0</v>
      </c>
      <c r="E28" s="187">
        <v>2</v>
      </c>
      <c r="F28" s="186" t="s">
        <v>504</v>
      </c>
      <c r="G28" s="186" t="s">
        <v>353</v>
      </c>
      <c r="H28" s="199"/>
    </row>
    <row r="29" ht="85.5" customHeight="1" spans="1:8">
      <c r="A29" s="186"/>
      <c r="B29" s="186" t="s">
        <v>505</v>
      </c>
      <c r="C29" s="186" t="s">
        <v>506</v>
      </c>
      <c r="D29" s="187">
        <v>0</v>
      </c>
      <c r="E29" s="187">
        <v>2.5</v>
      </c>
      <c r="F29" s="188" t="s">
        <v>507</v>
      </c>
      <c r="G29" s="186" t="s">
        <v>353</v>
      </c>
      <c r="H29" s="199"/>
    </row>
    <row r="30" ht="85.5" customHeight="1" spans="1:8">
      <c r="A30" s="186"/>
      <c r="B30" s="186" t="s">
        <v>508</v>
      </c>
      <c r="C30" s="186" t="s">
        <v>509</v>
      </c>
      <c r="D30" s="187">
        <v>0</v>
      </c>
      <c r="E30" s="187">
        <v>1</v>
      </c>
      <c r="F30" s="186" t="s">
        <v>510</v>
      </c>
      <c r="G30" s="186" t="s">
        <v>353</v>
      </c>
      <c r="H30" s="199"/>
    </row>
    <row r="31" ht="85.5" customHeight="1" spans="1:8">
      <c r="A31" s="186"/>
      <c r="B31" s="186" t="s">
        <v>511</v>
      </c>
      <c r="C31" s="186" t="s">
        <v>512</v>
      </c>
      <c r="D31" s="187">
        <v>1.5</v>
      </c>
      <c r="E31" s="187">
        <v>0.5</v>
      </c>
      <c r="F31" s="186" t="s">
        <v>513</v>
      </c>
      <c r="G31" s="186" t="s">
        <v>372</v>
      </c>
      <c r="H31" s="199"/>
    </row>
    <row r="32" ht="85.5" customHeight="1" spans="1:8">
      <c r="A32" s="186"/>
      <c r="B32" s="186" t="s">
        <v>514</v>
      </c>
      <c r="C32" s="186" t="s">
        <v>515</v>
      </c>
      <c r="D32" s="187">
        <v>0.5</v>
      </c>
      <c r="E32" s="187">
        <v>0.5</v>
      </c>
      <c r="F32" s="186" t="s">
        <v>516</v>
      </c>
      <c r="G32" s="186" t="s">
        <v>372</v>
      </c>
      <c r="H32" s="199"/>
    </row>
    <row r="33" ht="16.5" customHeight="1" spans="1:7">
      <c r="A33" s="179" t="s">
        <v>517</v>
      </c>
      <c r="B33" s="179"/>
      <c r="C33" s="179"/>
      <c r="D33" s="179"/>
      <c r="E33" s="179"/>
      <c r="F33" s="179"/>
      <c r="G33" s="179"/>
    </row>
    <row r="34" ht="91.5" customHeight="1" spans="1:8">
      <c r="A34" s="186"/>
      <c r="B34" s="188" t="s">
        <v>518</v>
      </c>
      <c r="C34" s="186" t="s">
        <v>519</v>
      </c>
      <c r="D34" s="187">
        <v>1</v>
      </c>
      <c r="E34" s="187">
        <v>1.5</v>
      </c>
      <c r="F34" s="188" t="s">
        <v>520</v>
      </c>
      <c r="G34" s="186" t="s">
        <v>372</v>
      </c>
      <c r="H34" s="199"/>
    </row>
    <row r="35" ht="91.5" customHeight="1" spans="1:8">
      <c r="A35" s="186"/>
      <c r="B35" s="188" t="s">
        <v>521</v>
      </c>
      <c r="C35" s="186" t="s">
        <v>522</v>
      </c>
      <c r="D35" s="187">
        <v>1</v>
      </c>
      <c r="E35" s="187">
        <v>1</v>
      </c>
      <c r="F35" s="186" t="s">
        <v>523</v>
      </c>
      <c r="G35" s="186" t="s">
        <v>372</v>
      </c>
      <c r="H35" s="199"/>
    </row>
    <row r="36" ht="91.5" customHeight="1" spans="1:8">
      <c r="A36" s="186"/>
      <c r="B36" s="186" t="s">
        <v>524</v>
      </c>
      <c r="C36" s="186" t="s">
        <v>525</v>
      </c>
      <c r="D36" s="187">
        <v>1</v>
      </c>
      <c r="E36" s="187">
        <v>0.5</v>
      </c>
      <c r="F36" s="186" t="s">
        <v>526</v>
      </c>
      <c r="G36" s="186" t="s">
        <v>372</v>
      </c>
      <c r="H36" s="199"/>
    </row>
    <row r="37" ht="16.5" customHeight="1" spans="1:7">
      <c r="A37" s="179" t="s">
        <v>527</v>
      </c>
      <c r="B37" s="179"/>
      <c r="C37" s="179"/>
      <c r="D37" s="179"/>
      <c r="E37" s="179"/>
      <c r="F37" s="179"/>
      <c r="G37" s="179"/>
    </row>
    <row r="38" ht="91.5" customHeight="1" spans="1:8">
      <c r="A38" s="186"/>
      <c r="B38" s="186" t="s">
        <v>528</v>
      </c>
      <c r="C38" s="186" t="s">
        <v>529</v>
      </c>
      <c r="D38" s="187">
        <v>0</v>
      </c>
      <c r="E38" s="187">
        <v>1</v>
      </c>
      <c r="F38" s="188" t="s">
        <v>530</v>
      </c>
      <c r="G38" s="186" t="s">
        <v>353</v>
      </c>
      <c r="H38" s="199"/>
    </row>
    <row r="39" ht="60.75" customHeight="1" spans="1:8">
      <c r="A39" s="186"/>
      <c r="B39" s="186" t="s">
        <v>531</v>
      </c>
      <c r="C39" s="186" t="s">
        <v>532</v>
      </c>
      <c r="D39" s="187">
        <v>1</v>
      </c>
      <c r="E39" s="187">
        <v>0.5</v>
      </c>
      <c r="F39" s="186" t="s">
        <v>533</v>
      </c>
      <c r="G39" s="186" t="s">
        <v>372</v>
      </c>
      <c r="H39" s="199"/>
    </row>
    <row r="40" ht="91.5" customHeight="1" spans="1:8">
      <c r="A40" s="186"/>
      <c r="B40" s="186" t="s">
        <v>534</v>
      </c>
      <c r="C40" s="186" t="s">
        <v>535</v>
      </c>
      <c r="D40" s="187">
        <v>1</v>
      </c>
      <c r="E40" s="187">
        <v>1</v>
      </c>
      <c r="F40" s="186" t="s">
        <v>536</v>
      </c>
      <c r="G40" s="186" t="s">
        <v>372</v>
      </c>
      <c r="H40" s="199"/>
    </row>
    <row r="41" ht="75.75" customHeight="1" spans="1:8">
      <c r="A41" s="186"/>
      <c r="B41" s="186" t="s">
        <v>537</v>
      </c>
      <c r="C41" s="188" t="s">
        <v>538</v>
      </c>
      <c r="D41" s="187">
        <v>0.5</v>
      </c>
      <c r="E41" s="187">
        <v>1</v>
      </c>
      <c r="F41" s="188" t="s">
        <v>539</v>
      </c>
      <c r="G41" s="186" t="s">
        <v>372</v>
      </c>
      <c r="H41" s="199"/>
    </row>
    <row r="42" ht="91.5" customHeight="1" spans="1:8">
      <c r="A42" s="186"/>
      <c r="B42" s="186" t="s">
        <v>540</v>
      </c>
      <c r="C42" s="186" t="s">
        <v>541</v>
      </c>
      <c r="D42" s="187">
        <v>0.5</v>
      </c>
      <c r="E42" s="187">
        <v>0.5</v>
      </c>
      <c r="F42" s="186" t="s">
        <v>542</v>
      </c>
      <c r="G42" s="186" t="s">
        <v>372</v>
      </c>
      <c r="H42" s="199"/>
    </row>
    <row r="43" ht="45.75" customHeight="1" spans="1:8">
      <c r="A43" s="186"/>
      <c r="B43" s="186" t="s">
        <v>543</v>
      </c>
      <c r="C43" s="186" t="s">
        <v>544</v>
      </c>
      <c r="D43" s="187">
        <v>0.5</v>
      </c>
      <c r="E43" s="187">
        <v>0.5</v>
      </c>
      <c r="F43" s="186" t="s">
        <v>545</v>
      </c>
      <c r="G43" s="186" t="s">
        <v>372</v>
      </c>
      <c r="H43" s="199"/>
    </row>
    <row r="45" ht="16.5" customHeight="1" spans="1:8">
      <c r="A45" s="189" t="s">
        <v>546</v>
      </c>
      <c r="B45" s="189"/>
      <c r="C45" s="190"/>
      <c r="D45" s="190"/>
      <c r="E45" s="190"/>
      <c r="F45" s="190"/>
      <c r="G45" s="190"/>
      <c r="H45" s="190"/>
    </row>
    <row r="46" ht="67.5" customHeight="1" spans="1:8">
      <c r="A46" s="190"/>
      <c r="B46" s="189" t="s">
        <v>547</v>
      </c>
      <c r="C46" s="191" t="s">
        <v>548</v>
      </c>
      <c r="D46" s="190">
        <v>2</v>
      </c>
      <c r="E46" s="190">
        <v>1.5</v>
      </c>
      <c r="F46" s="190" t="s">
        <v>549</v>
      </c>
      <c r="G46" s="191" t="s">
        <v>550</v>
      </c>
      <c r="H46" s="191" t="s">
        <v>551</v>
      </c>
    </row>
    <row r="47" ht="33.75" customHeight="1" spans="1:8">
      <c r="A47" s="190"/>
      <c r="B47" s="189" t="s">
        <v>552</v>
      </c>
      <c r="C47" s="191" t="s">
        <v>553</v>
      </c>
      <c r="D47" s="190">
        <v>0.5</v>
      </c>
      <c r="E47" s="190">
        <v>0.5</v>
      </c>
      <c r="F47" s="190" t="s">
        <v>554</v>
      </c>
      <c r="G47" s="191" t="s">
        <v>550</v>
      </c>
      <c r="H47" s="191" t="s">
        <v>551</v>
      </c>
    </row>
    <row r="48" ht="51" customHeight="1" spans="1:8">
      <c r="A48" s="190"/>
      <c r="B48" s="189" t="s">
        <v>555</v>
      </c>
      <c r="C48" s="191" t="s">
        <v>556</v>
      </c>
      <c r="D48" s="190">
        <v>0.5</v>
      </c>
      <c r="E48" s="190">
        <v>0.5</v>
      </c>
      <c r="F48" s="191" t="s">
        <v>557</v>
      </c>
      <c r="G48" s="191" t="s">
        <v>550</v>
      </c>
      <c r="H48" s="191" t="s">
        <v>551</v>
      </c>
    </row>
    <row r="49" ht="51" customHeight="1" spans="1:8">
      <c r="A49" s="190"/>
      <c r="B49" s="189" t="s">
        <v>558</v>
      </c>
      <c r="C49" s="191" t="s">
        <v>559</v>
      </c>
      <c r="D49" s="190">
        <v>0.5</v>
      </c>
      <c r="E49" s="190">
        <v>0</v>
      </c>
      <c r="F49" s="190" t="s">
        <v>560</v>
      </c>
      <c r="G49" s="191" t="s">
        <v>403</v>
      </c>
      <c r="H49" s="191" t="s">
        <v>551</v>
      </c>
    </row>
    <row r="50" ht="16.5" customHeight="1" spans="1:8">
      <c r="A50" s="189" t="s">
        <v>561</v>
      </c>
      <c r="B50" s="189"/>
      <c r="C50" s="190"/>
      <c r="D50" s="190"/>
      <c r="E50" s="190"/>
      <c r="F50" s="190"/>
      <c r="G50" s="190"/>
      <c r="H50" s="190"/>
    </row>
    <row r="51" ht="51" customHeight="1" spans="1:8">
      <c r="A51" s="190"/>
      <c r="B51" s="189" t="s">
        <v>562</v>
      </c>
      <c r="C51" s="191" t="s">
        <v>563</v>
      </c>
      <c r="D51" s="190">
        <v>1</v>
      </c>
      <c r="E51" s="190">
        <v>1</v>
      </c>
      <c r="F51" s="191" t="s">
        <v>564</v>
      </c>
      <c r="G51" s="191" t="s">
        <v>550</v>
      </c>
      <c r="H51" s="191" t="s">
        <v>551</v>
      </c>
    </row>
    <row r="52" ht="51" customHeight="1" spans="1:8">
      <c r="A52" s="190"/>
      <c r="B52" s="189" t="s">
        <v>565</v>
      </c>
      <c r="C52" s="191" t="s">
        <v>566</v>
      </c>
      <c r="D52" s="190">
        <v>1</v>
      </c>
      <c r="E52" s="190">
        <v>0.5</v>
      </c>
      <c r="F52" s="191" t="s">
        <v>567</v>
      </c>
      <c r="G52" s="191" t="s">
        <v>550</v>
      </c>
      <c r="H52" s="191" t="s">
        <v>551</v>
      </c>
    </row>
    <row r="53" ht="51" customHeight="1" spans="1:8">
      <c r="A53" s="190"/>
      <c r="B53" s="189" t="s">
        <v>568</v>
      </c>
      <c r="C53" s="191" t="s">
        <v>569</v>
      </c>
      <c r="D53" s="190">
        <v>0.5</v>
      </c>
      <c r="E53" s="190">
        <v>0.5</v>
      </c>
      <c r="F53" s="191" t="s">
        <v>570</v>
      </c>
      <c r="G53" s="191" t="s">
        <v>550</v>
      </c>
      <c r="H53" s="191" t="s">
        <v>551</v>
      </c>
    </row>
    <row r="54" spans="1:8">
      <c r="A54" s="192" t="s">
        <v>431</v>
      </c>
      <c r="B54" s="193" t="s">
        <v>571</v>
      </c>
      <c r="C54" s="31"/>
      <c r="D54" s="194">
        <v>23.5</v>
      </c>
      <c r="E54" s="194">
        <v>31</v>
      </c>
      <c r="F54" s="194">
        <v>54.5</v>
      </c>
      <c r="G54" s="31"/>
      <c r="H54" s="31"/>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topLeftCell="A41" workbookViewId="0">
      <selection activeCell="C18" sqref="C18"/>
    </sheetView>
  </sheetViews>
  <sheetFormatPr defaultColWidth="9" defaultRowHeight="16.8" outlineLevelCol="7"/>
  <cols>
    <col min="1" max="1" width="14" customWidth="1"/>
    <col min="2" max="2" width="28" customWidth="1"/>
    <col min="3" max="3" width="62" customWidth="1"/>
    <col min="4" max="5" width="8" customWidth="1"/>
    <col min="6" max="6" width="36" customWidth="1"/>
    <col min="7" max="7" width="14" customWidth="1"/>
    <col min="8" max="8" width="10" customWidth="1"/>
  </cols>
  <sheetData>
    <row r="1" ht="31.5" customHeight="1" spans="1:8">
      <c r="A1" s="157" t="s">
        <v>342</v>
      </c>
      <c r="B1" s="157" t="s">
        <v>343</v>
      </c>
      <c r="C1" s="157" t="s">
        <v>572</v>
      </c>
      <c r="D1" s="157" t="s">
        <v>573</v>
      </c>
      <c r="E1" s="157" t="s">
        <v>574</v>
      </c>
      <c r="F1" s="157" t="s">
        <v>347</v>
      </c>
      <c r="G1" s="157" t="s">
        <v>348</v>
      </c>
      <c r="H1" s="157" t="s">
        <v>95</v>
      </c>
    </row>
    <row r="2" ht="19.5" customHeight="1" spans="1:8">
      <c r="A2" s="158" t="s">
        <v>575</v>
      </c>
      <c r="B2" s="159"/>
      <c r="C2" s="159"/>
      <c r="D2" s="159"/>
      <c r="E2" s="159"/>
      <c r="F2" s="159"/>
      <c r="G2" s="159"/>
      <c r="H2" s="159"/>
    </row>
    <row r="3" ht="72" customHeight="1" spans="1:8">
      <c r="A3" s="160"/>
      <c r="B3" s="161" t="s">
        <v>576</v>
      </c>
      <c r="C3" s="161" t="s">
        <v>577</v>
      </c>
      <c r="D3" s="160">
        <v>0</v>
      </c>
      <c r="E3" s="160">
        <v>0</v>
      </c>
      <c r="F3" s="161" t="s">
        <v>578</v>
      </c>
      <c r="G3" s="174" t="s">
        <v>372</v>
      </c>
      <c r="H3" s="175" t="s">
        <v>579</v>
      </c>
    </row>
    <row r="4" ht="87" customHeight="1" spans="1:8">
      <c r="A4" s="160"/>
      <c r="B4" s="161" t="s">
        <v>580</v>
      </c>
      <c r="C4" s="161" t="s">
        <v>581</v>
      </c>
      <c r="D4" s="160">
        <v>0</v>
      </c>
      <c r="E4" s="160">
        <v>0</v>
      </c>
      <c r="F4" s="161" t="s">
        <v>582</v>
      </c>
      <c r="G4" s="174" t="s">
        <v>372</v>
      </c>
      <c r="H4" s="175" t="s">
        <v>579</v>
      </c>
    </row>
    <row r="5" ht="72" customHeight="1" spans="1:8">
      <c r="A5" s="160"/>
      <c r="B5" s="161" t="s">
        <v>583</v>
      </c>
      <c r="C5" s="162" t="s">
        <v>584</v>
      </c>
      <c r="D5" s="160">
        <v>0</v>
      </c>
      <c r="E5" s="160">
        <v>0</v>
      </c>
      <c r="F5" s="161" t="s">
        <v>585</v>
      </c>
      <c r="G5" s="174" t="s">
        <v>372</v>
      </c>
      <c r="H5" s="175" t="s">
        <v>579</v>
      </c>
    </row>
    <row r="6" ht="72" customHeight="1" spans="1:8">
      <c r="A6" s="160"/>
      <c r="B6" s="161" t="s">
        <v>586</v>
      </c>
      <c r="C6" s="161" t="s">
        <v>587</v>
      </c>
      <c r="D6" s="160">
        <v>0</v>
      </c>
      <c r="E6" s="160">
        <v>0</v>
      </c>
      <c r="F6" s="161" t="s">
        <v>588</v>
      </c>
      <c r="G6" s="174" t="s">
        <v>372</v>
      </c>
      <c r="H6" s="175" t="s">
        <v>579</v>
      </c>
    </row>
    <row r="7" ht="72" customHeight="1" spans="1:8">
      <c r="A7" s="160"/>
      <c r="B7" s="161" t="s">
        <v>589</v>
      </c>
      <c r="C7" s="161" t="s">
        <v>590</v>
      </c>
      <c r="D7" s="160">
        <v>0</v>
      </c>
      <c r="E7" s="160">
        <v>0</v>
      </c>
      <c r="F7" s="161" t="s">
        <v>591</v>
      </c>
      <c r="G7" s="174" t="s">
        <v>372</v>
      </c>
      <c r="H7" s="175" t="s">
        <v>579</v>
      </c>
    </row>
    <row r="8" ht="72" customHeight="1" spans="1:8">
      <c r="A8" s="160"/>
      <c r="B8" s="161" t="s">
        <v>592</v>
      </c>
      <c r="C8" s="161" t="s">
        <v>593</v>
      </c>
      <c r="D8" s="160">
        <v>0</v>
      </c>
      <c r="E8" s="160">
        <v>0</v>
      </c>
      <c r="F8" s="161" t="s">
        <v>594</v>
      </c>
      <c r="G8" s="174" t="s">
        <v>372</v>
      </c>
      <c r="H8" s="175" t="s">
        <v>579</v>
      </c>
    </row>
    <row r="9" ht="108" customHeight="1" spans="1:8">
      <c r="A9" s="160"/>
      <c r="B9" s="161" t="s">
        <v>595</v>
      </c>
      <c r="C9" s="161" t="s">
        <v>596</v>
      </c>
      <c r="D9" s="160">
        <v>0</v>
      </c>
      <c r="E9" s="160">
        <v>0</v>
      </c>
      <c r="F9" s="162" t="s">
        <v>597</v>
      </c>
      <c r="G9" s="174" t="s">
        <v>372</v>
      </c>
      <c r="H9" s="175" t="s">
        <v>579</v>
      </c>
    </row>
    <row r="10" s="89" customFormat="1" ht="19.5" customHeight="1" spans="1:8">
      <c r="A10" s="163" t="s">
        <v>598</v>
      </c>
      <c r="B10" s="164" t="s">
        <v>434</v>
      </c>
      <c r="C10" s="165"/>
      <c r="D10" s="165"/>
      <c r="E10" s="165"/>
      <c r="F10" s="165"/>
      <c r="G10" s="165"/>
      <c r="H10" s="165"/>
    </row>
    <row r="11" s="89" customFormat="1" ht="72" customHeight="1" spans="1:8">
      <c r="A11" s="166"/>
      <c r="B11" s="167" t="s">
        <v>599</v>
      </c>
      <c r="C11" s="167" t="s">
        <v>600</v>
      </c>
      <c r="D11" s="166">
        <v>1</v>
      </c>
      <c r="E11" s="166">
        <v>0.5</v>
      </c>
      <c r="F11" s="168" t="s">
        <v>601</v>
      </c>
      <c r="G11" s="176" t="s">
        <v>372</v>
      </c>
      <c r="H11" s="166"/>
    </row>
    <row r="12" s="89" customFormat="1" ht="129.75" customHeight="1" spans="1:8">
      <c r="A12" s="166"/>
      <c r="B12" s="167" t="s">
        <v>602</v>
      </c>
      <c r="C12" s="168" t="s">
        <v>603</v>
      </c>
      <c r="D12" s="166">
        <v>1</v>
      </c>
      <c r="E12" s="166">
        <v>2</v>
      </c>
      <c r="F12" s="167" t="s">
        <v>604</v>
      </c>
      <c r="G12" s="176" t="s">
        <v>372</v>
      </c>
      <c r="H12" s="166"/>
    </row>
    <row r="13" s="89" customFormat="1" ht="105" customHeight="1" spans="1:8">
      <c r="A13" s="166"/>
      <c r="B13" s="167" t="s">
        <v>605</v>
      </c>
      <c r="C13" s="168" t="s">
        <v>606</v>
      </c>
      <c r="D13" s="166">
        <v>1</v>
      </c>
      <c r="E13" s="166">
        <v>1.5</v>
      </c>
      <c r="F13" s="167" t="s">
        <v>607</v>
      </c>
      <c r="G13" s="176" t="s">
        <v>372</v>
      </c>
      <c r="H13" s="166"/>
    </row>
    <row r="14" s="156" customFormat="1" ht="99" customHeight="1" spans="1:8">
      <c r="A14" s="169"/>
      <c r="B14" s="170" t="s">
        <v>608</v>
      </c>
      <c r="C14" s="170" t="s">
        <v>609</v>
      </c>
      <c r="D14" s="169">
        <v>0.5</v>
      </c>
      <c r="E14" s="169">
        <v>1</v>
      </c>
      <c r="F14" s="170" t="s">
        <v>610</v>
      </c>
      <c r="G14" s="177" t="s">
        <v>372</v>
      </c>
      <c r="H14" s="169"/>
    </row>
    <row r="15" s="156" customFormat="1" ht="72" customHeight="1" spans="1:8">
      <c r="A15" s="169"/>
      <c r="B15" s="170" t="s">
        <v>611</v>
      </c>
      <c r="C15" s="170" t="s">
        <v>612</v>
      </c>
      <c r="D15" s="169">
        <v>0.5</v>
      </c>
      <c r="E15" s="169">
        <v>0.5</v>
      </c>
      <c r="F15" s="170" t="s">
        <v>613</v>
      </c>
      <c r="G15" s="177" t="s">
        <v>372</v>
      </c>
      <c r="H15" s="169"/>
    </row>
    <row r="16" s="156" customFormat="1" ht="99" customHeight="1" spans="1:8">
      <c r="A16" s="169"/>
      <c r="B16" s="170" t="s">
        <v>614</v>
      </c>
      <c r="C16" s="170" t="s">
        <v>615</v>
      </c>
      <c r="D16" s="169">
        <v>0.5</v>
      </c>
      <c r="E16" s="169">
        <v>1</v>
      </c>
      <c r="F16" s="171" t="s">
        <v>616</v>
      </c>
      <c r="G16" s="177" t="s">
        <v>372</v>
      </c>
      <c r="H16" s="169"/>
    </row>
    <row r="17" s="156" customFormat="1" ht="72" customHeight="1" spans="1:8">
      <c r="A17" s="169"/>
      <c r="B17" s="170" t="s">
        <v>617</v>
      </c>
      <c r="C17" s="170" t="s">
        <v>618</v>
      </c>
      <c r="D17" s="169">
        <v>0.5</v>
      </c>
      <c r="E17" s="169">
        <v>0.5</v>
      </c>
      <c r="F17" s="171" t="s">
        <v>619</v>
      </c>
      <c r="G17" s="177" t="s">
        <v>372</v>
      </c>
      <c r="H17" s="169"/>
    </row>
    <row r="18" s="156" customFormat="1" ht="111.75" customHeight="1" spans="1:8">
      <c r="A18" s="169"/>
      <c r="B18" s="170" t="s">
        <v>620</v>
      </c>
      <c r="C18" s="170" t="s">
        <v>621</v>
      </c>
      <c r="D18" s="169">
        <v>1</v>
      </c>
      <c r="E18" s="169">
        <v>1</v>
      </c>
      <c r="F18" s="170" t="s">
        <v>622</v>
      </c>
      <c r="G18" s="177" t="s">
        <v>372</v>
      </c>
      <c r="H18" s="169"/>
    </row>
    <row r="19" s="156" customFormat="1" ht="108.75" customHeight="1" spans="1:8">
      <c r="A19" s="169"/>
      <c r="B19" s="170" t="s">
        <v>623</v>
      </c>
      <c r="C19" s="170" t="s">
        <v>624</v>
      </c>
      <c r="D19" s="169">
        <v>1</v>
      </c>
      <c r="E19" s="169">
        <v>1</v>
      </c>
      <c r="F19" s="170" t="s">
        <v>625</v>
      </c>
      <c r="G19" s="177" t="s">
        <v>372</v>
      </c>
      <c r="H19" s="169"/>
    </row>
    <row r="20" s="89" customFormat="1" ht="19.5" customHeight="1" spans="1:8">
      <c r="A20" s="163" t="s">
        <v>626</v>
      </c>
      <c r="B20" s="164" t="s">
        <v>627</v>
      </c>
      <c r="C20" s="165"/>
      <c r="D20" s="165"/>
      <c r="E20" s="165"/>
      <c r="F20" s="165"/>
      <c r="G20" s="165"/>
      <c r="H20" s="165"/>
    </row>
    <row r="21" s="89" customFormat="1" ht="105.75" customHeight="1" spans="1:8">
      <c r="A21" s="166"/>
      <c r="B21" s="167" t="s">
        <v>628</v>
      </c>
      <c r="C21" s="167" t="s">
        <v>629</v>
      </c>
      <c r="D21" s="166">
        <v>1</v>
      </c>
      <c r="E21" s="166">
        <v>1</v>
      </c>
      <c r="F21" s="168" t="s">
        <v>630</v>
      </c>
      <c r="G21" s="176" t="s">
        <v>372</v>
      </c>
      <c r="H21" s="166"/>
    </row>
    <row r="22" s="89" customFormat="1" ht="72" customHeight="1" spans="1:8">
      <c r="A22" s="166"/>
      <c r="B22" s="167" t="s">
        <v>631</v>
      </c>
      <c r="C22" s="167" t="s">
        <v>632</v>
      </c>
      <c r="D22" s="166">
        <v>0.5</v>
      </c>
      <c r="E22" s="166">
        <v>0.5</v>
      </c>
      <c r="F22" s="167" t="s">
        <v>633</v>
      </c>
      <c r="G22" s="176" t="s">
        <v>372</v>
      </c>
      <c r="H22" s="166"/>
    </row>
    <row r="23" s="89" customFormat="1" ht="159.75" customHeight="1" spans="1:8">
      <c r="A23" s="166"/>
      <c r="B23" s="167" t="s">
        <v>634</v>
      </c>
      <c r="C23" s="168" t="s">
        <v>635</v>
      </c>
      <c r="D23" s="166">
        <v>1</v>
      </c>
      <c r="E23" s="166">
        <v>1.5</v>
      </c>
      <c r="F23" s="168" t="s">
        <v>636</v>
      </c>
      <c r="G23" s="176" t="s">
        <v>372</v>
      </c>
      <c r="H23" s="166"/>
    </row>
    <row r="24" s="89" customFormat="1" ht="112.5" customHeight="1" spans="1:8">
      <c r="A24" s="166"/>
      <c r="B24" s="167" t="s">
        <v>637</v>
      </c>
      <c r="C24" s="167" t="s">
        <v>638</v>
      </c>
      <c r="D24" s="166">
        <v>0.5</v>
      </c>
      <c r="E24" s="166">
        <v>1</v>
      </c>
      <c r="F24" s="167" t="s">
        <v>639</v>
      </c>
      <c r="G24" s="176" t="s">
        <v>372</v>
      </c>
      <c r="H24" s="166"/>
    </row>
    <row r="25" s="156" customFormat="1" ht="114" customHeight="1" spans="1:8">
      <c r="A25" s="169"/>
      <c r="B25" s="170" t="s">
        <v>640</v>
      </c>
      <c r="C25" s="170" t="s">
        <v>641</v>
      </c>
      <c r="D25" s="169">
        <v>0.5</v>
      </c>
      <c r="E25" s="169">
        <v>1</v>
      </c>
      <c r="F25" s="171" t="s">
        <v>642</v>
      </c>
      <c r="G25" s="177" t="s">
        <v>372</v>
      </c>
      <c r="H25" s="169"/>
    </row>
    <row r="26" s="156" customFormat="1" ht="120" customHeight="1" spans="1:8">
      <c r="A26" s="169"/>
      <c r="B26" s="170" t="s">
        <v>643</v>
      </c>
      <c r="C26" s="170" t="s">
        <v>644</v>
      </c>
      <c r="D26" s="169">
        <v>1</v>
      </c>
      <c r="E26" s="169">
        <v>1</v>
      </c>
      <c r="F26" s="170" t="s">
        <v>645</v>
      </c>
      <c r="G26" s="177" t="s">
        <v>372</v>
      </c>
      <c r="H26" s="169"/>
    </row>
    <row r="27" s="156" customFormat="1" ht="124.5" customHeight="1" spans="1:8">
      <c r="A27" s="169"/>
      <c r="B27" s="170" t="s">
        <v>646</v>
      </c>
      <c r="C27" s="171" t="s">
        <v>647</v>
      </c>
      <c r="D27" s="169">
        <v>0</v>
      </c>
      <c r="E27" s="169">
        <v>0.5</v>
      </c>
      <c r="F27" s="171" t="s">
        <v>648</v>
      </c>
      <c r="G27" s="177" t="s">
        <v>353</v>
      </c>
      <c r="H27" s="169"/>
    </row>
    <row r="28" ht="19.5" customHeight="1" spans="1:8">
      <c r="A28" s="158" t="s">
        <v>649</v>
      </c>
      <c r="B28" s="159"/>
      <c r="C28" s="159"/>
      <c r="D28" s="159"/>
      <c r="E28" s="159"/>
      <c r="F28" s="159"/>
      <c r="G28" s="159"/>
      <c r="H28" s="159"/>
    </row>
    <row r="29" ht="108.75" customHeight="1" spans="1:8">
      <c r="A29" s="160"/>
      <c r="B29" s="161" t="s">
        <v>650</v>
      </c>
      <c r="C29" s="161" t="s">
        <v>651</v>
      </c>
      <c r="D29" s="160">
        <v>0</v>
      </c>
      <c r="E29" s="160">
        <v>0</v>
      </c>
      <c r="F29" s="161" t="s">
        <v>652</v>
      </c>
      <c r="G29" s="174" t="s">
        <v>372</v>
      </c>
      <c r="H29" s="175" t="s">
        <v>438</v>
      </c>
    </row>
    <row r="30" ht="114.75" customHeight="1" spans="1:8">
      <c r="A30" s="160"/>
      <c r="B30" s="161" t="s">
        <v>653</v>
      </c>
      <c r="C30" s="161" t="s">
        <v>654</v>
      </c>
      <c r="D30" s="160">
        <v>0</v>
      </c>
      <c r="E30" s="160">
        <v>0</v>
      </c>
      <c r="F30" s="162" t="s">
        <v>655</v>
      </c>
      <c r="G30" s="174" t="s">
        <v>372</v>
      </c>
      <c r="H30" s="175" t="s">
        <v>438</v>
      </c>
    </row>
    <row r="31" ht="72" customHeight="1" spans="1:8">
      <c r="A31" s="160"/>
      <c r="B31" s="161" t="s">
        <v>656</v>
      </c>
      <c r="C31" s="161" t="s">
        <v>657</v>
      </c>
      <c r="D31" s="160">
        <v>0</v>
      </c>
      <c r="E31" s="160">
        <v>0</v>
      </c>
      <c r="F31" s="161" t="s">
        <v>658</v>
      </c>
      <c r="G31" s="174" t="s">
        <v>372</v>
      </c>
      <c r="H31" s="175" t="s">
        <v>438</v>
      </c>
    </row>
    <row r="32" ht="72" customHeight="1" spans="1:8">
      <c r="A32" s="160"/>
      <c r="B32" s="161" t="s">
        <v>659</v>
      </c>
      <c r="C32" s="161" t="s">
        <v>660</v>
      </c>
      <c r="D32" s="160">
        <v>0.5</v>
      </c>
      <c r="E32" s="160">
        <v>0.5</v>
      </c>
      <c r="F32" s="161" t="s">
        <v>661</v>
      </c>
      <c r="G32" s="174" t="s">
        <v>372</v>
      </c>
      <c r="H32" s="160"/>
    </row>
    <row r="33" ht="19.5" customHeight="1" spans="1:8">
      <c r="A33" s="158" t="s">
        <v>662</v>
      </c>
      <c r="B33" s="159"/>
      <c r="C33" s="159"/>
      <c r="D33" s="159"/>
      <c r="E33" s="159"/>
      <c r="F33" s="159"/>
      <c r="G33" s="159"/>
      <c r="H33" s="159"/>
    </row>
    <row r="34" ht="72" customHeight="1" spans="1:8">
      <c r="A34" s="160"/>
      <c r="B34" s="161" t="s">
        <v>663</v>
      </c>
      <c r="C34" s="161" t="s">
        <v>664</v>
      </c>
      <c r="D34" s="160">
        <v>0</v>
      </c>
      <c r="E34" s="160">
        <v>0</v>
      </c>
      <c r="F34" s="162" t="s">
        <v>665</v>
      </c>
      <c r="G34" s="174" t="s">
        <v>372</v>
      </c>
      <c r="H34" s="175" t="s">
        <v>438</v>
      </c>
    </row>
    <row r="35" ht="72" customHeight="1" spans="1:8">
      <c r="A35" s="160"/>
      <c r="B35" s="161" t="s">
        <v>666</v>
      </c>
      <c r="C35" s="161" t="s">
        <v>667</v>
      </c>
      <c r="D35" s="160">
        <v>0</v>
      </c>
      <c r="E35" s="160">
        <v>0</v>
      </c>
      <c r="F35" s="162" t="s">
        <v>668</v>
      </c>
      <c r="G35" s="174" t="s">
        <v>372</v>
      </c>
      <c r="H35" s="175" t="s">
        <v>438</v>
      </c>
    </row>
    <row r="36" ht="72" customHeight="1" spans="1:8">
      <c r="A36" s="160"/>
      <c r="B36" s="161" t="s">
        <v>669</v>
      </c>
      <c r="C36" s="161" t="s">
        <v>670</v>
      </c>
      <c r="D36" s="160">
        <v>0</v>
      </c>
      <c r="E36" s="160">
        <v>0</v>
      </c>
      <c r="F36" s="162" t="s">
        <v>671</v>
      </c>
      <c r="G36" s="174" t="s">
        <v>353</v>
      </c>
      <c r="H36" s="175" t="s">
        <v>438</v>
      </c>
    </row>
    <row r="37" ht="72" customHeight="1" spans="1:8">
      <c r="A37" s="160"/>
      <c r="B37" s="161" t="s">
        <v>672</v>
      </c>
      <c r="C37" s="161" t="s">
        <v>673</v>
      </c>
      <c r="D37" s="160">
        <v>0</v>
      </c>
      <c r="E37" s="160">
        <v>0</v>
      </c>
      <c r="F37" s="162" t="s">
        <v>674</v>
      </c>
      <c r="G37" s="174" t="s">
        <v>372</v>
      </c>
      <c r="H37" s="175" t="s">
        <v>438</v>
      </c>
    </row>
    <row r="38" ht="19.5" customHeight="1" spans="1:8">
      <c r="A38" s="158" t="s">
        <v>675</v>
      </c>
      <c r="B38" s="159"/>
      <c r="C38" s="159"/>
      <c r="D38" s="159"/>
      <c r="E38" s="159"/>
      <c r="F38" s="159"/>
      <c r="G38" s="159"/>
      <c r="H38" s="159"/>
    </row>
    <row r="39" ht="72" customHeight="1" spans="1:8">
      <c r="A39" s="160"/>
      <c r="B39" s="161" t="s">
        <v>676</v>
      </c>
      <c r="C39" s="161" t="s">
        <v>677</v>
      </c>
      <c r="D39" s="160">
        <v>0</v>
      </c>
      <c r="E39" s="160">
        <v>0.5</v>
      </c>
      <c r="F39" s="162" t="s">
        <v>678</v>
      </c>
      <c r="G39" s="174" t="s">
        <v>353</v>
      </c>
      <c r="H39" s="160"/>
    </row>
    <row r="40" ht="72" customHeight="1" spans="1:8">
      <c r="A40" s="160"/>
      <c r="B40" s="161" t="s">
        <v>679</v>
      </c>
      <c r="C40" s="161" t="s">
        <v>680</v>
      </c>
      <c r="D40" s="160">
        <v>0</v>
      </c>
      <c r="E40" s="160">
        <v>0.5</v>
      </c>
      <c r="F40" s="161" t="s">
        <v>681</v>
      </c>
      <c r="G40" s="174" t="s">
        <v>353</v>
      </c>
      <c r="H40" s="160"/>
    </row>
    <row r="41" ht="72" customHeight="1" spans="1:8">
      <c r="A41" s="160"/>
      <c r="B41" s="161" t="s">
        <v>682</v>
      </c>
      <c r="C41" s="161" t="s">
        <v>683</v>
      </c>
      <c r="D41" s="160">
        <v>0</v>
      </c>
      <c r="E41" s="160">
        <v>0.5</v>
      </c>
      <c r="F41" s="161" t="s">
        <v>684</v>
      </c>
      <c r="G41" s="174" t="s">
        <v>353</v>
      </c>
      <c r="H41" s="160"/>
    </row>
    <row r="42" ht="72" customHeight="1" spans="1:8">
      <c r="A42" s="160"/>
      <c r="B42" s="161" t="s">
        <v>685</v>
      </c>
      <c r="C42" s="161" t="s">
        <v>686</v>
      </c>
      <c r="D42" s="160">
        <v>0</v>
      </c>
      <c r="E42" s="160">
        <v>0.5</v>
      </c>
      <c r="F42" s="161" t="s">
        <v>687</v>
      </c>
      <c r="G42" s="174" t="s">
        <v>353</v>
      </c>
      <c r="H42" s="160"/>
    </row>
    <row r="43" ht="72" customHeight="1" spans="1:8">
      <c r="A43" s="160"/>
      <c r="B43" s="161" t="s">
        <v>688</v>
      </c>
      <c r="C43" s="161" t="s">
        <v>689</v>
      </c>
      <c r="D43" s="160">
        <v>0</v>
      </c>
      <c r="E43" s="160">
        <v>0.5</v>
      </c>
      <c r="F43" s="161" t="s">
        <v>690</v>
      </c>
      <c r="G43" s="174" t="s">
        <v>353</v>
      </c>
      <c r="H43" s="160"/>
    </row>
    <row r="44" ht="16.5" customHeight="1" spans="1:6">
      <c r="A44" s="157" t="s">
        <v>431</v>
      </c>
      <c r="B44" s="172" t="s">
        <v>691</v>
      </c>
      <c r="D44" s="173">
        <f>SUMIF(D2:D43,"&gt;0",D2:D43)</f>
        <v>12</v>
      </c>
      <c r="E44" s="173">
        <f>SUMIF(E2:E43,"&gt;0",E2:E43)</f>
        <v>18.5</v>
      </c>
      <c r="F44" s="173">
        <f>D44+E44</f>
        <v>30.5</v>
      </c>
    </row>
  </sheetData>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selection activeCell="A12" sqref="A12"/>
    </sheetView>
  </sheetViews>
  <sheetFormatPr defaultColWidth="9" defaultRowHeight="16.8" outlineLevelCol="7"/>
  <cols>
    <col min="1" max="1" width="42.1442307692308" customWidth="1"/>
    <col min="2" max="2" width="35" customWidth="1"/>
    <col min="3" max="3" width="65" customWidth="1"/>
    <col min="4" max="5" width="12" customWidth="1"/>
    <col min="6" max="6" width="40" customWidth="1"/>
    <col min="7" max="7" width="15" customWidth="1"/>
  </cols>
  <sheetData>
    <row r="1" ht="30" customHeight="1" spans="1:7">
      <c r="A1" s="122" t="s">
        <v>342</v>
      </c>
      <c r="B1" s="122" t="s">
        <v>343</v>
      </c>
      <c r="C1" s="122" t="s">
        <v>344</v>
      </c>
      <c r="D1" s="122" t="s">
        <v>345</v>
      </c>
      <c r="E1" s="122" t="s">
        <v>346</v>
      </c>
      <c r="F1" s="122" t="s">
        <v>347</v>
      </c>
      <c r="G1" s="122" t="s">
        <v>348</v>
      </c>
    </row>
    <row r="2" ht="21.75" customHeight="1" spans="1:1">
      <c r="A2" s="123" t="s">
        <v>692</v>
      </c>
    </row>
    <row r="3" s="90" customFormat="1" ht="79.5" customHeight="1" spans="1:8">
      <c r="A3" s="152"/>
      <c r="B3" s="152" t="s">
        <v>693</v>
      </c>
      <c r="C3" s="152" t="s">
        <v>694</v>
      </c>
      <c r="D3" s="152">
        <v>1.5</v>
      </c>
      <c r="E3" s="152">
        <v>1.5</v>
      </c>
      <c r="F3" s="152" t="s">
        <v>695</v>
      </c>
      <c r="G3" s="152" t="s">
        <v>696</v>
      </c>
      <c r="H3" s="154" t="s">
        <v>434</v>
      </c>
    </row>
    <row r="4" s="90" customFormat="1" ht="79.5" customHeight="1" spans="1:8">
      <c r="A4" s="152"/>
      <c r="B4" s="152" t="s">
        <v>697</v>
      </c>
      <c r="C4" s="152" t="s">
        <v>698</v>
      </c>
      <c r="D4" s="152">
        <v>0.5</v>
      </c>
      <c r="E4" s="152">
        <v>0.5</v>
      </c>
      <c r="F4" s="152" t="s">
        <v>699</v>
      </c>
      <c r="G4" s="152" t="s">
        <v>696</v>
      </c>
      <c r="H4" s="154" t="s">
        <v>434</v>
      </c>
    </row>
    <row r="5" ht="79.5" customHeight="1" spans="1:7">
      <c r="A5" s="124"/>
      <c r="B5" s="124" t="s">
        <v>700</v>
      </c>
      <c r="C5" s="124" t="s">
        <v>701</v>
      </c>
      <c r="D5" s="124">
        <v>1.5</v>
      </c>
      <c r="E5" s="124">
        <v>2</v>
      </c>
      <c r="F5" s="124" t="s">
        <v>702</v>
      </c>
      <c r="G5" s="124" t="s">
        <v>696</v>
      </c>
    </row>
    <row r="6" ht="79.5" customHeight="1" spans="1:7">
      <c r="A6" s="125"/>
      <c r="B6" s="125" t="s">
        <v>703</v>
      </c>
      <c r="C6" s="125" t="s">
        <v>704</v>
      </c>
      <c r="D6" s="125">
        <v>1.5</v>
      </c>
      <c r="E6" s="125">
        <v>2</v>
      </c>
      <c r="F6" s="125" t="s">
        <v>705</v>
      </c>
      <c r="G6" s="125" t="s">
        <v>696</v>
      </c>
    </row>
    <row r="7" ht="21.75" customHeight="1" spans="1:1">
      <c r="A7" s="123" t="s">
        <v>706</v>
      </c>
    </row>
    <row r="8" ht="79.5" customHeight="1" spans="1:8">
      <c r="A8" s="153"/>
      <c r="B8" s="153" t="s">
        <v>707</v>
      </c>
      <c r="C8" s="153" t="s">
        <v>708</v>
      </c>
      <c r="D8" s="153">
        <v>2</v>
      </c>
      <c r="E8" s="153">
        <v>1.5</v>
      </c>
      <c r="F8" s="153" t="s">
        <v>709</v>
      </c>
      <c r="G8" s="153" t="s">
        <v>696</v>
      </c>
      <c r="H8" s="155" t="s">
        <v>434</v>
      </c>
    </row>
    <row r="9" ht="79.5" customHeight="1" spans="1:8">
      <c r="A9" s="153"/>
      <c r="B9" s="153" t="s">
        <v>710</v>
      </c>
      <c r="C9" s="153" t="s">
        <v>711</v>
      </c>
      <c r="D9" s="153">
        <v>1.5</v>
      </c>
      <c r="E9" s="153">
        <v>1</v>
      </c>
      <c r="F9" s="153" t="s">
        <v>712</v>
      </c>
      <c r="G9" s="153" t="s">
        <v>696</v>
      </c>
      <c r="H9" s="155" t="s">
        <v>434</v>
      </c>
    </row>
    <row r="10" ht="79.5" customHeight="1" spans="1:7">
      <c r="A10" s="124"/>
      <c r="B10" s="124" t="s">
        <v>713</v>
      </c>
      <c r="C10" s="124" t="s">
        <v>714</v>
      </c>
      <c r="D10" s="124">
        <v>1.5</v>
      </c>
      <c r="E10" s="124">
        <v>2</v>
      </c>
      <c r="F10" s="124" t="s">
        <v>715</v>
      </c>
      <c r="G10" s="124" t="s">
        <v>696</v>
      </c>
    </row>
    <row r="11" ht="79.5" customHeight="1" spans="1:7">
      <c r="A11" s="125"/>
      <c r="B11" s="125" t="s">
        <v>716</v>
      </c>
      <c r="C11" s="125" t="s">
        <v>717</v>
      </c>
      <c r="D11" s="125">
        <v>0.5</v>
      </c>
      <c r="E11" s="125">
        <v>0.5</v>
      </c>
      <c r="F11" s="125" t="s">
        <v>718</v>
      </c>
      <c r="G11" s="125" t="s">
        <v>696</v>
      </c>
    </row>
    <row r="12" s="90" customFormat="1" ht="79.5" customHeight="1" spans="1:8">
      <c r="A12" s="152"/>
      <c r="B12" s="152" t="s">
        <v>719</v>
      </c>
      <c r="C12" s="152" t="s">
        <v>720</v>
      </c>
      <c r="D12" s="152">
        <v>1.5</v>
      </c>
      <c r="E12" s="152">
        <v>1.5</v>
      </c>
      <c r="F12" s="152" t="s">
        <v>721</v>
      </c>
      <c r="G12" s="152" t="s">
        <v>696</v>
      </c>
      <c r="H12" s="154" t="s">
        <v>434</v>
      </c>
    </row>
    <row r="13" s="90" customFormat="1" ht="79.5" customHeight="1" spans="1:8">
      <c r="A13" s="152"/>
      <c r="B13" s="152" t="s">
        <v>722</v>
      </c>
      <c r="C13" s="152" t="s">
        <v>723</v>
      </c>
      <c r="D13" s="152">
        <v>0.5</v>
      </c>
      <c r="E13" s="152">
        <v>0.5</v>
      </c>
      <c r="F13" s="152" t="s">
        <v>724</v>
      </c>
      <c r="G13" s="152" t="s">
        <v>696</v>
      </c>
      <c r="H13" s="154" t="s">
        <v>434</v>
      </c>
    </row>
    <row r="14" ht="79.5" customHeight="1" spans="1:7">
      <c r="A14" s="124"/>
      <c r="B14" s="124" t="s">
        <v>725</v>
      </c>
      <c r="C14" s="124" t="s">
        <v>726</v>
      </c>
      <c r="D14" s="124">
        <v>0.5</v>
      </c>
      <c r="E14" s="124">
        <v>0.5</v>
      </c>
      <c r="F14" s="124" t="s">
        <v>727</v>
      </c>
      <c r="G14" s="124" t="s">
        <v>696</v>
      </c>
    </row>
    <row r="15" ht="79.5" customHeight="1" spans="1:7">
      <c r="A15" s="125"/>
      <c r="B15" s="125" t="s">
        <v>728</v>
      </c>
      <c r="C15" s="125" t="s">
        <v>729</v>
      </c>
      <c r="D15" s="125">
        <v>0.5</v>
      </c>
      <c r="E15" s="125">
        <v>0.5</v>
      </c>
      <c r="F15" s="125" t="s">
        <v>730</v>
      </c>
      <c r="G15" s="125" t="s">
        <v>696</v>
      </c>
    </row>
    <row r="16" ht="79.5" customHeight="1" spans="1:7">
      <c r="A16" s="124"/>
      <c r="B16" s="124" t="s">
        <v>731</v>
      </c>
      <c r="C16" s="124" t="s">
        <v>732</v>
      </c>
      <c r="D16" s="124">
        <v>0.5</v>
      </c>
      <c r="E16" s="124">
        <v>0.5</v>
      </c>
      <c r="F16" s="124" t="s">
        <v>733</v>
      </c>
      <c r="G16" s="124" t="s">
        <v>696</v>
      </c>
    </row>
    <row r="17" ht="79.5" customHeight="1" spans="1:7">
      <c r="A17" s="125"/>
      <c r="B17" s="125" t="s">
        <v>734</v>
      </c>
      <c r="C17" s="125" t="s">
        <v>735</v>
      </c>
      <c r="D17" s="125">
        <v>1</v>
      </c>
      <c r="E17" s="125">
        <v>1</v>
      </c>
      <c r="F17" s="125" t="s">
        <v>736</v>
      </c>
      <c r="G17" s="125" t="s">
        <v>696</v>
      </c>
    </row>
    <row r="18" ht="21.75" customHeight="1" spans="1:1">
      <c r="A18" s="123" t="s">
        <v>737</v>
      </c>
    </row>
    <row r="19" ht="79.5" customHeight="1" spans="1:7">
      <c r="A19" s="124"/>
      <c r="B19" s="124" t="s">
        <v>738</v>
      </c>
      <c r="C19" s="124" t="s">
        <v>739</v>
      </c>
      <c r="D19" s="124">
        <v>1</v>
      </c>
      <c r="E19" s="124">
        <v>1</v>
      </c>
      <c r="F19" s="124" t="s">
        <v>740</v>
      </c>
      <c r="G19" s="124" t="s">
        <v>696</v>
      </c>
    </row>
    <row r="20" ht="79.5" customHeight="1" spans="1:7">
      <c r="A20" s="125"/>
      <c r="B20" s="125" t="s">
        <v>741</v>
      </c>
      <c r="C20" s="125" t="s">
        <v>742</v>
      </c>
      <c r="D20" s="125">
        <v>1</v>
      </c>
      <c r="E20" s="125">
        <v>1.5</v>
      </c>
      <c r="F20" s="125" t="s">
        <v>743</v>
      </c>
      <c r="G20" s="125" t="s">
        <v>696</v>
      </c>
    </row>
    <row r="21" ht="21.75" customHeight="1" spans="1:1">
      <c r="A21" s="123" t="s">
        <v>744</v>
      </c>
    </row>
    <row r="22" ht="79.5" customHeight="1" spans="1:7">
      <c r="A22" s="124"/>
      <c r="B22" s="124" t="s">
        <v>745</v>
      </c>
      <c r="C22" s="124" t="s">
        <v>746</v>
      </c>
      <c r="D22" s="124">
        <v>2</v>
      </c>
      <c r="E22" s="124">
        <v>2</v>
      </c>
      <c r="F22" s="124" t="s">
        <v>747</v>
      </c>
      <c r="G22" s="124" t="s">
        <v>696</v>
      </c>
    </row>
    <row r="23" ht="21.75" customHeight="1" spans="1:1">
      <c r="A23" s="123" t="s">
        <v>748</v>
      </c>
    </row>
    <row r="24" ht="79.5" customHeight="1" spans="1:7">
      <c r="A24" s="124"/>
      <c r="B24" s="124" t="s">
        <v>749</v>
      </c>
      <c r="C24" s="124" t="s">
        <v>750</v>
      </c>
      <c r="D24" s="124">
        <v>1.5</v>
      </c>
      <c r="E24" s="124">
        <v>1.5</v>
      </c>
      <c r="F24" s="124" t="s">
        <v>751</v>
      </c>
      <c r="G24" s="124" t="s">
        <v>696</v>
      </c>
    </row>
    <row r="25" ht="79.5" customHeight="1" spans="1:7">
      <c r="A25" s="125"/>
      <c r="B25" s="125" t="s">
        <v>752</v>
      </c>
      <c r="C25" s="125" t="s">
        <v>753</v>
      </c>
      <c r="D25" s="125">
        <v>1.5</v>
      </c>
      <c r="E25" s="125">
        <v>1.5</v>
      </c>
      <c r="F25" s="125" t="s">
        <v>754</v>
      </c>
      <c r="G25" s="125" t="s">
        <v>696</v>
      </c>
    </row>
    <row r="26" ht="79.5" customHeight="1" spans="1:7">
      <c r="A26" s="124"/>
      <c r="B26" s="124" t="s">
        <v>755</v>
      </c>
      <c r="C26" s="124" t="s">
        <v>756</v>
      </c>
      <c r="D26" s="124">
        <v>2</v>
      </c>
      <c r="E26" s="124">
        <v>1.5</v>
      </c>
      <c r="F26" s="124" t="s">
        <v>757</v>
      </c>
      <c r="G26" s="124" t="s">
        <v>696</v>
      </c>
    </row>
    <row r="27" ht="79.5" customHeight="1" spans="1:7">
      <c r="A27" s="125"/>
      <c r="B27" s="125" t="s">
        <v>758</v>
      </c>
      <c r="C27" s="125" t="s">
        <v>759</v>
      </c>
      <c r="D27" s="125">
        <v>1</v>
      </c>
      <c r="E27" s="125">
        <v>1</v>
      </c>
      <c r="F27" s="125" t="s">
        <v>760</v>
      </c>
      <c r="G27" s="125" t="s">
        <v>696</v>
      </c>
    </row>
    <row r="28" ht="79.5" customHeight="1" spans="1:7">
      <c r="A28" s="124"/>
      <c r="B28" s="124" t="s">
        <v>761</v>
      </c>
      <c r="C28" s="124" t="s">
        <v>762</v>
      </c>
      <c r="D28" s="124">
        <v>1.5</v>
      </c>
      <c r="E28" s="124">
        <v>1</v>
      </c>
      <c r="F28" s="124" t="s">
        <v>763</v>
      </c>
      <c r="G28" s="124" t="s">
        <v>696</v>
      </c>
    </row>
    <row r="29" ht="79.5" customHeight="1" spans="1:7">
      <c r="A29" s="125"/>
      <c r="B29" s="125" t="s">
        <v>764</v>
      </c>
      <c r="C29" s="125" t="s">
        <v>765</v>
      </c>
      <c r="D29" s="125">
        <v>1.5</v>
      </c>
      <c r="E29" s="125">
        <v>1.5</v>
      </c>
      <c r="F29" s="125" t="s">
        <v>766</v>
      </c>
      <c r="G29" s="125" t="s">
        <v>696</v>
      </c>
    </row>
    <row r="30" ht="79.5" customHeight="1" spans="1:7">
      <c r="A30" s="124"/>
      <c r="B30" s="124" t="s">
        <v>767</v>
      </c>
      <c r="C30" s="124" t="s">
        <v>768</v>
      </c>
      <c r="D30" s="124">
        <v>1</v>
      </c>
      <c r="E30" s="124">
        <v>1</v>
      </c>
      <c r="F30" s="124" t="s">
        <v>769</v>
      </c>
      <c r="G30" s="124" t="s">
        <v>696</v>
      </c>
    </row>
    <row r="31" ht="79.5" customHeight="1" spans="1:7">
      <c r="A31" s="125"/>
      <c r="B31" s="125" t="s">
        <v>770</v>
      </c>
      <c r="C31" s="125" t="s">
        <v>771</v>
      </c>
      <c r="D31" s="125">
        <v>0.5</v>
      </c>
      <c r="E31" s="125">
        <v>0.5</v>
      </c>
      <c r="F31" s="125" t="s">
        <v>772</v>
      </c>
      <c r="G31" s="125" t="s">
        <v>696</v>
      </c>
    </row>
    <row r="32" ht="79.5" customHeight="1" spans="1:7">
      <c r="A32" s="124"/>
      <c r="B32" s="124" t="s">
        <v>773</v>
      </c>
      <c r="C32" s="124" t="s">
        <v>774</v>
      </c>
      <c r="D32" s="124">
        <v>1</v>
      </c>
      <c r="E32" s="124">
        <v>1</v>
      </c>
      <c r="F32" s="124" t="s">
        <v>775</v>
      </c>
      <c r="G32" s="124" t="s">
        <v>696</v>
      </c>
    </row>
    <row r="33" ht="79.5" customHeight="1" spans="1:7">
      <c r="A33" s="125"/>
      <c r="B33" s="125" t="s">
        <v>776</v>
      </c>
      <c r="C33" s="125" t="s">
        <v>777</v>
      </c>
      <c r="D33" s="125">
        <v>1.5</v>
      </c>
      <c r="E33" s="125">
        <v>1.5</v>
      </c>
      <c r="F33" s="125" t="s">
        <v>778</v>
      </c>
      <c r="G33" s="125" t="s">
        <v>696</v>
      </c>
    </row>
    <row r="34" ht="21.75" customHeight="1" spans="1:1">
      <c r="A34" s="123" t="s">
        <v>431</v>
      </c>
    </row>
    <row r="35" ht="79.5" customHeight="1" spans="1:7">
      <c r="A35" s="124"/>
      <c r="B35" s="124" t="s">
        <v>432</v>
      </c>
      <c r="C35" s="124"/>
      <c r="D35" s="124">
        <f>SUM(D3:D34)</f>
        <v>32</v>
      </c>
      <c r="E35" s="124">
        <f>SUM(E3:E34)</f>
        <v>32</v>
      </c>
      <c r="F35" s="124"/>
      <c r="G35" s="124"/>
    </row>
  </sheetData>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topLeftCell="A64" workbookViewId="0">
      <selection activeCell="K51" sqref="K51"/>
    </sheetView>
  </sheetViews>
  <sheetFormatPr defaultColWidth="9" defaultRowHeight="16.8"/>
  <cols>
    <col min="1" max="1" width="15" customWidth="1"/>
    <col min="2" max="2" width="18" customWidth="1"/>
    <col min="3" max="3" width="60" customWidth="1"/>
    <col min="4" max="5" width="12" customWidth="1"/>
    <col min="6" max="6" width="30" customWidth="1"/>
    <col min="7" max="7" width="15" customWidth="1"/>
  </cols>
  <sheetData>
    <row r="1" ht="33.75" customHeight="1" spans="1:7">
      <c r="A1" s="23" t="s">
        <v>342</v>
      </c>
      <c r="B1" s="23" t="s">
        <v>343</v>
      </c>
      <c r="C1" s="23" t="s">
        <v>344</v>
      </c>
      <c r="D1" s="23" t="s">
        <v>345</v>
      </c>
      <c r="E1" s="23" t="s">
        <v>346</v>
      </c>
      <c r="F1" s="23" t="s">
        <v>347</v>
      </c>
      <c r="G1" s="23" t="s">
        <v>348</v>
      </c>
    </row>
    <row r="2" ht="16.5" customHeight="1" spans="1:7">
      <c r="A2" s="135" t="s">
        <v>779</v>
      </c>
      <c r="B2" s="49"/>
      <c r="C2" s="49"/>
      <c r="D2" s="49"/>
      <c r="E2" s="49"/>
      <c r="F2" s="49"/>
      <c r="G2" s="49"/>
    </row>
    <row r="3" ht="93" customHeight="1" spans="1:7">
      <c r="A3" s="67"/>
      <c r="B3" s="68" t="s">
        <v>780</v>
      </c>
      <c r="C3" s="129" t="s">
        <v>781</v>
      </c>
      <c r="D3" s="67">
        <v>2</v>
      </c>
      <c r="E3" s="67">
        <v>1</v>
      </c>
      <c r="F3" s="68" t="s">
        <v>782</v>
      </c>
      <c r="G3" s="68" t="s">
        <v>696</v>
      </c>
    </row>
    <row r="4" ht="93" customHeight="1" spans="1:7">
      <c r="A4" s="67"/>
      <c r="B4" s="68" t="s">
        <v>783</v>
      </c>
      <c r="C4" s="129" t="s">
        <v>784</v>
      </c>
      <c r="D4" s="67">
        <v>2</v>
      </c>
      <c r="E4" s="67">
        <v>0.5</v>
      </c>
      <c r="F4" s="67" t="s">
        <v>785</v>
      </c>
      <c r="G4" s="68" t="s">
        <v>696</v>
      </c>
    </row>
    <row r="5" ht="93" customHeight="1" spans="1:7">
      <c r="A5" s="67"/>
      <c r="B5" s="68" t="s">
        <v>786</v>
      </c>
      <c r="C5" s="129" t="s">
        <v>787</v>
      </c>
      <c r="D5" s="67">
        <v>2</v>
      </c>
      <c r="E5" s="67">
        <v>1</v>
      </c>
      <c r="F5" s="68" t="s">
        <v>788</v>
      </c>
      <c r="G5" s="68" t="s">
        <v>696</v>
      </c>
    </row>
    <row r="6" ht="93" customHeight="1" spans="1:7">
      <c r="A6" s="67"/>
      <c r="B6" s="68" t="s">
        <v>789</v>
      </c>
      <c r="C6" s="129" t="s">
        <v>790</v>
      </c>
      <c r="D6" s="67">
        <v>0.5</v>
      </c>
      <c r="E6" s="67">
        <v>0.5</v>
      </c>
      <c r="F6" s="68" t="s">
        <v>791</v>
      </c>
      <c r="G6" s="68" t="s">
        <v>696</v>
      </c>
    </row>
    <row r="7" ht="93" customHeight="1" spans="1:7">
      <c r="A7" s="67"/>
      <c r="B7" s="68" t="s">
        <v>792</v>
      </c>
      <c r="C7" s="129" t="s">
        <v>793</v>
      </c>
      <c r="D7" s="67">
        <v>0.5</v>
      </c>
      <c r="E7" s="67">
        <v>1</v>
      </c>
      <c r="F7" s="68" t="s">
        <v>794</v>
      </c>
      <c r="G7" s="68" t="s">
        <v>696</v>
      </c>
    </row>
    <row r="8" ht="93" customHeight="1" spans="1:8">
      <c r="A8" s="69"/>
      <c r="B8" s="70" t="s">
        <v>795</v>
      </c>
      <c r="C8" s="136" t="s">
        <v>796</v>
      </c>
      <c r="D8" s="69">
        <v>1</v>
      </c>
      <c r="E8" s="69">
        <v>1</v>
      </c>
      <c r="F8" s="70" t="s">
        <v>797</v>
      </c>
      <c r="G8" s="70" t="s">
        <v>798</v>
      </c>
      <c r="H8" s="70" t="s">
        <v>799</v>
      </c>
    </row>
    <row r="9" ht="93" customHeight="1" spans="1:8">
      <c r="A9" s="69"/>
      <c r="B9" s="70" t="s">
        <v>800</v>
      </c>
      <c r="C9" s="136" t="s">
        <v>801</v>
      </c>
      <c r="D9" s="69">
        <v>1</v>
      </c>
      <c r="E9" s="69">
        <v>0.5</v>
      </c>
      <c r="F9" s="70" t="s">
        <v>802</v>
      </c>
      <c r="G9" s="70" t="s">
        <v>798</v>
      </c>
      <c r="H9" s="70" t="s">
        <v>799</v>
      </c>
    </row>
    <row r="10" ht="93" customHeight="1" spans="1:8">
      <c r="A10" s="69"/>
      <c r="B10" s="70" t="s">
        <v>803</v>
      </c>
      <c r="C10" s="136" t="s">
        <v>804</v>
      </c>
      <c r="D10" s="69">
        <v>0.5</v>
      </c>
      <c r="E10" s="69">
        <v>0.5</v>
      </c>
      <c r="F10" s="69" t="s">
        <v>805</v>
      </c>
      <c r="G10" s="70" t="s">
        <v>798</v>
      </c>
      <c r="H10" s="70" t="s">
        <v>799</v>
      </c>
    </row>
    <row r="11" ht="16.5" customHeight="1" spans="1:7">
      <c r="A11" s="137" t="s">
        <v>806</v>
      </c>
      <c r="B11" s="49"/>
      <c r="C11" s="49"/>
      <c r="D11" s="49"/>
      <c r="E11" s="49"/>
      <c r="F11" s="49"/>
      <c r="G11" s="49"/>
    </row>
    <row r="12" ht="99.75" customHeight="1" spans="1:7">
      <c r="A12" s="67"/>
      <c r="B12" s="68" t="s">
        <v>807</v>
      </c>
      <c r="C12" s="129" t="s">
        <v>808</v>
      </c>
      <c r="D12" s="67">
        <v>1.5</v>
      </c>
      <c r="E12" s="67">
        <v>0.5</v>
      </c>
      <c r="F12" s="68" t="s">
        <v>809</v>
      </c>
      <c r="G12" s="68" t="s">
        <v>696</v>
      </c>
    </row>
    <row r="13" ht="99.75" customHeight="1" spans="1:7">
      <c r="A13" s="67"/>
      <c r="B13" s="68" t="s">
        <v>810</v>
      </c>
      <c r="C13" s="129" t="s">
        <v>811</v>
      </c>
      <c r="D13" s="67">
        <v>0</v>
      </c>
      <c r="E13" s="67">
        <v>2</v>
      </c>
      <c r="F13" s="67" t="s">
        <v>812</v>
      </c>
      <c r="G13" s="68" t="s">
        <v>696</v>
      </c>
    </row>
    <row r="14" ht="99.75" customHeight="1" spans="1:7">
      <c r="A14" s="67"/>
      <c r="B14" s="68" t="s">
        <v>813</v>
      </c>
      <c r="C14" s="129" t="s">
        <v>814</v>
      </c>
      <c r="D14" s="67">
        <v>0.5</v>
      </c>
      <c r="E14" s="67">
        <v>0.5</v>
      </c>
      <c r="F14" s="67"/>
      <c r="G14" s="68" t="s">
        <v>696</v>
      </c>
    </row>
    <row r="15" ht="99.75" customHeight="1" spans="1:7">
      <c r="A15" s="67"/>
      <c r="B15" s="68" t="s">
        <v>815</v>
      </c>
      <c r="C15" s="129" t="s">
        <v>816</v>
      </c>
      <c r="D15" s="67">
        <v>2</v>
      </c>
      <c r="E15" s="67">
        <v>1.5</v>
      </c>
      <c r="F15" s="67" t="s">
        <v>817</v>
      </c>
      <c r="G15" s="68" t="s">
        <v>696</v>
      </c>
    </row>
    <row r="16" ht="99.75" customHeight="1" spans="1:8">
      <c r="A16" s="67"/>
      <c r="B16" s="70" t="s">
        <v>818</v>
      </c>
      <c r="C16" s="70" t="s">
        <v>819</v>
      </c>
      <c r="D16" s="69">
        <v>1</v>
      </c>
      <c r="E16" s="69">
        <v>0.5</v>
      </c>
      <c r="F16" s="70" t="s">
        <v>820</v>
      </c>
      <c r="G16" s="70" t="s">
        <v>798</v>
      </c>
      <c r="H16" s="70" t="s">
        <v>799</v>
      </c>
    </row>
    <row r="17" ht="99.75" customHeight="1" spans="1:8">
      <c r="A17" s="67"/>
      <c r="B17" s="70" t="s">
        <v>821</v>
      </c>
      <c r="C17" s="70" t="s">
        <v>822</v>
      </c>
      <c r="D17" s="69">
        <v>1.5</v>
      </c>
      <c r="E17" s="69">
        <v>2</v>
      </c>
      <c r="F17" s="70" t="s">
        <v>823</v>
      </c>
      <c r="G17" s="70" t="s">
        <v>798</v>
      </c>
      <c r="H17" s="70" t="s">
        <v>799</v>
      </c>
    </row>
    <row r="18" ht="16.5" customHeight="1" spans="1:7">
      <c r="A18" s="138" t="s">
        <v>824</v>
      </c>
      <c r="B18" s="49"/>
      <c r="C18" s="49"/>
      <c r="D18" s="49"/>
      <c r="E18" s="49"/>
      <c r="F18" s="49"/>
      <c r="G18" s="49"/>
    </row>
    <row r="19" ht="102.75" customHeight="1" spans="1:7">
      <c r="A19" s="67"/>
      <c r="B19" s="68" t="s">
        <v>825</v>
      </c>
      <c r="C19" s="129" t="s">
        <v>826</v>
      </c>
      <c r="D19" s="67">
        <v>1</v>
      </c>
      <c r="E19" s="67">
        <v>0.5</v>
      </c>
      <c r="F19" s="68"/>
      <c r="G19" s="68" t="s">
        <v>696</v>
      </c>
    </row>
    <row r="20" ht="102.75" customHeight="1" spans="1:7">
      <c r="A20" s="67"/>
      <c r="B20" s="68" t="s">
        <v>827</v>
      </c>
      <c r="C20" s="129" t="s">
        <v>828</v>
      </c>
      <c r="D20" s="67">
        <v>2</v>
      </c>
      <c r="E20" s="67">
        <v>1</v>
      </c>
      <c r="F20" s="68" t="s">
        <v>829</v>
      </c>
      <c r="G20" s="68" t="s">
        <v>696</v>
      </c>
    </row>
    <row r="21" ht="102.75" customHeight="1" spans="1:7">
      <c r="A21" s="67"/>
      <c r="B21" s="68" t="s">
        <v>830</v>
      </c>
      <c r="C21" s="129" t="s">
        <v>831</v>
      </c>
      <c r="D21" s="67">
        <v>1</v>
      </c>
      <c r="E21" s="67">
        <v>1</v>
      </c>
      <c r="F21" s="68" t="s">
        <v>832</v>
      </c>
      <c r="G21" s="68" t="s">
        <v>696</v>
      </c>
    </row>
    <row r="22" ht="102.75" customHeight="1" spans="1:7">
      <c r="A22" s="67"/>
      <c r="B22" s="68" t="s">
        <v>833</v>
      </c>
      <c r="C22" s="129" t="s">
        <v>834</v>
      </c>
      <c r="D22" s="67">
        <v>1</v>
      </c>
      <c r="E22" s="67">
        <v>1</v>
      </c>
      <c r="F22" s="68"/>
      <c r="G22" s="68" t="s">
        <v>696</v>
      </c>
    </row>
    <row r="23" ht="102.75" customHeight="1" spans="1:7">
      <c r="A23" s="67"/>
      <c r="B23" s="68" t="s">
        <v>835</v>
      </c>
      <c r="C23" s="129" t="s">
        <v>836</v>
      </c>
      <c r="D23" s="67">
        <v>0.5</v>
      </c>
      <c r="E23" s="67">
        <v>2</v>
      </c>
      <c r="F23" s="68" t="s">
        <v>837</v>
      </c>
      <c r="G23" s="68" t="s">
        <v>696</v>
      </c>
    </row>
    <row r="24" ht="102.75" customHeight="1" spans="1:7">
      <c r="A24" s="67"/>
      <c r="B24" s="68" t="s">
        <v>838</v>
      </c>
      <c r="C24" s="129" t="s">
        <v>839</v>
      </c>
      <c r="D24" s="67">
        <v>1</v>
      </c>
      <c r="E24" s="67">
        <v>1</v>
      </c>
      <c r="F24" s="67" t="s">
        <v>840</v>
      </c>
      <c r="G24" s="68" t="s">
        <v>696</v>
      </c>
    </row>
    <row r="25" ht="102.75" customHeight="1" spans="1:7">
      <c r="A25" s="67"/>
      <c r="B25" s="68" t="s">
        <v>841</v>
      </c>
      <c r="C25" s="129" t="s">
        <v>842</v>
      </c>
      <c r="D25" s="67">
        <v>0.5</v>
      </c>
      <c r="E25" s="67">
        <v>0.5</v>
      </c>
      <c r="F25" s="68" t="s">
        <v>843</v>
      </c>
      <c r="G25" s="68" t="s">
        <v>696</v>
      </c>
    </row>
    <row r="26" ht="102.75" customHeight="1" spans="1:8">
      <c r="A26" s="69"/>
      <c r="B26" s="70" t="s">
        <v>844</v>
      </c>
      <c r="C26" s="70" t="s">
        <v>845</v>
      </c>
      <c r="D26" s="69">
        <v>1.5</v>
      </c>
      <c r="E26" s="69">
        <v>0.5</v>
      </c>
      <c r="F26" s="70" t="s">
        <v>846</v>
      </c>
      <c r="G26" s="70" t="s">
        <v>798</v>
      </c>
      <c r="H26" s="70" t="s">
        <v>799</v>
      </c>
    </row>
    <row r="27" ht="102.75" customHeight="1" spans="1:8">
      <c r="A27" s="69"/>
      <c r="B27" s="70" t="s">
        <v>847</v>
      </c>
      <c r="C27" s="70" t="s">
        <v>848</v>
      </c>
      <c r="D27" s="69">
        <v>0.5</v>
      </c>
      <c r="E27" s="69">
        <v>0.5</v>
      </c>
      <c r="F27" s="70" t="s">
        <v>849</v>
      </c>
      <c r="G27" s="70" t="s">
        <v>798</v>
      </c>
      <c r="H27" s="70" t="s">
        <v>799</v>
      </c>
    </row>
    <row r="28" ht="102.75" customHeight="1" spans="1:8">
      <c r="A28" s="69"/>
      <c r="B28" s="70" t="s">
        <v>850</v>
      </c>
      <c r="C28" s="70" t="s">
        <v>851</v>
      </c>
      <c r="D28" s="69">
        <v>1</v>
      </c>
      <c r="E28" s="69">
        <v>0.5</v>
      </c>
      <c r="F28" s="70" t="s">
        <v>852</v>
      </c>
      <c r="G28" s="70" t="s">
        <v>798</v>
      </c>
      <c r="H28" s="70" t="s">
        <v>799</v>
      </c>
    </row>
    <row r="29" ht="16.5" customHeight="1" spans="1:7">
      <c r="A29" s="139" t="s">
        <v>853</v>
      </c>
      <c r="B29" s="49"/>
      <c r="C29" s="49"/>
      <c r="D29" s="49"/>
      <c r="E29" s="49"/>
      <c r="F29" s="49"/>
      <c r="G29" s="49"/>
    </row>
    <row r="30" ht="75" customHeight="1" spans="1:7">
      <c r="A30" s="67"/>
      <c r="B30" s="68" t="s">
        <v>854</v>
      </c>
      <c r="C30" s="129" t="s">
        <v>855</v>
      </c>
      <c r="D30" s="67">
        <v>1.5</v>
      </c>
      <c r="E30" s="67">
        <v>0.5</v>
      </c>
      <c r="F30" s="68" t="s">
        <v>856</v>
      </c>
      <c r="G30" s="68" t="s">
        <v>696</v>
      </c>
    </row>
    <row r="31" ht="75" customHeight="1" spans="1:7">
      <c r="A31" s="67"/>
      <c r="B31" s="68" t="s">
        <v>857</v>
      </c>
      <c r="C31" s="129" t="s">
        <v>858</v>
      </c>
      <c r="D31" s="67">
        <v>2</v>
      </c>
      <c r="E31" s="67">
        <v>1</v>
      </c>
      <c r="F31" s="68" t="s">
        <v>859</v>
      </c>
      <c r="G31" s="68" t="s">
        <v>696</v>
      </c>
    </row>
    <row r="32" ht="75" customHeight="1" spans="1:7">
      <c r="A32" s="67"/>
      <c r="B32" s="68" t="s">
        <v>860</v>
      </c>
      <c r="C32" s="129" t="s">
        <v>861</v>
      </c>
      <c r="D32" s="67">
        <v>1</v>
      </c>
      <c r="E32" s="67">
        <v>1</v>
      </c>
      <c r="F32" s="68" t="s">
        <v>862</v>
      </c>
      <c r="G32" s="68" t="s">
        <v>696</v>
      </c>
    </row>
    <row r="33" ht="75" customHeight="1" spans="1:7">
      <c r="A33" s="67"/>
      <c r="B33" s="68" t="s">
        <v>863</v>
      </c>
      <c r="C33" s="129" t="s">
        <v>864</v>
      </c>
      <c r="D33" s="67">
        <v>1</v>
      </c>
      <c r="E33" s="67">
        <v>0.5</v>
      </c>
      <c r="F33" s="68" t="s">
        <v>865</v>
      </c>
      <c r="G33" s="68" t="s">
        <v>696</v>
      </c>
    </row>
    <row r="34" ht="75" customHeight="1" spans="1:7">
      <c r="A34" s="67"/>
      <c r="B34" s="68" t="s">
        <v>866</v>
      </c>
      <c r="C34" s="129" t="s">
        <v>867</v>
      </c>
      <c r="D34" s="67">
        <v>0.5</v>
      </c>
      <c r="E34" s="67">
        <v>1</v>
      </c>
      <c r="F34" s="68" t="s">
        <v>868</v>
      </c>
      <c r="G34" s="68" t="s">
        <v>696</v>
      </c>
    </row>
    <row r="35" ht="75" customHeight="1" spans="1:7">
      <c r="A35" s="67"/>
      <c r="B35" s="68" t="s">
        <v>869</v>
      </c>
      <c r="C35" s="140" t="s">
        <v>870</v>
      </c>
      <c r="D35" s="67">
        <v>1</v>
      </c>
      <c r="E35" s="67">
        <v>1</v>
      </c>
      <c r="F35" s="67" t="s">
        <v>871</v>
      </c>
      <c r="G35" s="68" t="s">
        <v>696</v>
      </c>
    </row>
    <row r="36" ht="75" customHeight="1" spans="1:7">
      <c r="A36" s="67"/>
      <c r="B36" s="68" t="s">
        <v>872</v>
      </c>
      <c r="C36" s="129" t="s">
        <v>873</v>
      </c>
      <c r="D36" s="67">
        <v>0.5</v>
      </c>
      <c r="E36" s="67">
        <v>0.5</v>
      </c>
      <c r="F36" s="67"/>
      <c r="G36" s="68" t="s">
        <v>696</v>
      </c>
    </row>
    <row r="37" ht="75" customHeight="1" spans="1:8">
      <c r="A37" s="69"/>
      <c r="B37" s="136" t="s">
        <v>874</v>
      </c>
      <c r="C37" s="136" t="s">
        <v>875</v>
      </c>
      <c r="D37" s="136">
        <v>2</v>
      </c>
      <c r="E37" s="136">
        <v>1</v>
      </c>
      <c r="F37" s="136" t="s">
        <v>876</v>
      </c>
      <c r="G37" s="136" t="s">
        <v>798</v>
      </c>
      <c r="H37" s="136" t="s">
        <v>799</v>
      </c>
    </row>
    <row r="38" ht="75" customHeight="1" spans="1:8">
      <c r="A38" s="69"/>
      <c r="B38" s="136" t="s">
        <v>877</v>
      </c>
      <c r="C38" s="136" t="s">
        <v>878</v>
      </c>
      <c r="D38" s="136">
        <v>1</v>
      </c>
      <c r="E38" s="136">
        <v>1</v>
      </c>
      <c r="F38" s="136" t="s">
        <v>879</v>
      </c>
      <c r="G38" s="136" t="s">
        <v>798</v>
      </c>
      <c r="H38" s="136" t="s">
        <v>799</v>
      </c>
    </row>
    <row r="39" ht="75" customHeight="1" spans="1:8">
      <c r="A39" s="69"/>
      <c r="B39" s="136" t="s">
        <v>880</v>
      </c>
      <c r="C39" s="136" t="s">
        <v>881</v>
      </c>
      <c r="D39" s="136">
        <v>0.5</v>
      </c>
      <c r="E39" s="136">
        <v>1</v>
      </c>
      <c r="F39" s="136" t="s">
        <v>882</v>
      </c>
      <c r="G39" s="136" t="s">
        <v>798</v>
      </c>
      <c r="H39" s="136" t="s">
        <v>799</v>
      </c>
    </row>
    <row r="40" ht="75" customHeight="1" spans="1:8">
      <c r="A40" s="69"/>
      <c r="B40" s="136" t="s">
        <v>883</v>
      </c>
      <c r="C40" s="136" t="s">
        <v>884</v>
      </c>
      <c r="D40" s="136">
        <v>1</v>
      </c>
      <c r="E40" s="136">
        <v>0.5</v>
      </c>
      <c r="F40" s="136" t="s">
        <v>885</v>
      </c>
      <c r="G40" s="136" t="s">
        <v>798</v>
      </c>
      <c r="H40" s="136" t="s">
        <v>799</v>
      </c>
    </row>
    <row r="41" ht="16.5" customHeight="1" spans="1:7">
      <c r="A41" s="141" t="s">
        <v>886</v>
      </c>
      <c r="B41" s="49"/>
      <c r="C41" s="49"/>
      <c r="D41" s="49"/>
      <c r="E41" s="49"/>
      <c r="F41" s="49"/>
      <c r="G41" s="49"/>
    </row>
    <row r="42" ht="90" customHeight="1" spans="1:7">
      <c r="A42" s="67"/>
      <c r="B42" s="68" t="s">
        <v>887</v>
      </c>
      <c r="C42" s="129" t="s">
        <v>888</v>
      </c>
      <c r="D42" s="67">
        <v>1</v>
      </c>
      <c r="E42" s="67">
        <v>0.5</v>
      </c>
      <c r="F42" s="68"/>
      <c r="G42" s="68" t="s">
        <v>696</v>
      </c>
    </row>
    <row r="43" ht="90" customHeight="1" spans="1:7">
      <c r="A43" s="67"/>
      <c r="B43" s="68" t="s">
        <v>889</v>
      </c>
      <c r="C43" s="129" t="s">
        <v>890</v>
      </c>
      <c r="D43" s="67">
        <v>1</v>
      </c>
      <c r="E43" s="67">
        <v>0.5</v>
      </c>
      <c r="F43" s="68" t="s">
        <v>891</v>
      </c>
      <c r="G43" s="68" t="s">
        <v>696</v>
      </c>
    </row>
    <row r="44" ht="90" customHeight="1" spans="1:7">
      <c r="A44" s="67"/>
      <c r="B44" s="68" t="s">
        <v>892</v>
      </c>
      <c r="C44" s="129" t="s">
        <v>893</v>
      </c>
      <c r="D44" s="67">
        <v>0.5</v>
      </c>
      <c r="E44" s="67">
        <v>0.5</v>
      </c>
      <c r="F44" s="68"/>
      <c r="G44" s="68" t="s">
        <v>696</v>
      </c>
    </row>
    <row r="45" ht="90" customHeight="1" spans="1:7">
      <c r="A45" s="67"/>
      <c r="B45" s="68" t="s">
        <v>894</v>
      </c>
      <c r="C45" s="129" t="s">
        <v>895</v>
      </c>
      <c r="D45" s="67">
        <v>0.5</v>
      </c>
      <c r="E45" s="67">
        <v>1</v>
      </c>
      <c r="F45" s="68" t="s">
        <v>896</v>
      </c>
      <c r="G45" s="68" t="s">
        <v>696</v>
      </c>
    </row>
    <row r="46" ht="90" customHeight="1" spans="1:7">
      <c r="A46" s="67"/>
      <c r="B46" s="68" t="s">
        <v>897</v>
      </c>
      <c r="C46" s="129" t="s">
        <v>898</v>
      </c>
      <c r="D46" s="67">
        <v>0.5</v>
      </c>
      <c r="E46" s="67">
        <v>0.5</v>
      </c>
      <c r="F46" s="68" t="s">
        <v>899</v>
      </c>
      <c r="G46" s="68" t="s">
        <v>696</v>
      </c>
    </row>
    <row r="47" ht="90" customHeight="1" spans="1:8">
      <c r="A47" s="69"/>
      <c r="B47" s="136" t="s">
        <v>900</v>
      </c>
      <c r="C47" s="142" t="s">
        <v>901</v>
      </c>
      <c r="D47" s="142">
        <v>2</v>
      </c>
      <c r="E47" s="142">
        <v>1</v>
      </c>
      <c r="F47" s="136" t="s">
        <v>902</v>
      </c>
      <c r="G47" s="136" t="s">
        <v>798</v>
      </c>
      <c r="H47" s="136" t="s">
        <v>799</v>
      </c>
    </row>
    <row r="48" ht="90" customHeight="1" spans="1:8">
      <c r="A48" s="69"/>
      <c r="B48" s="136" t="s">
        <v>903</v>
      </c>
      <c r="C48" s="136" t="s">
        <v>904</v>
      </c>
      <c r="D48" s="142">
        <v>0.5</v>
      </c>
      <c r="E48" s="142">
        <v>1</v>
      </c>
      <c r="F48" s="142" t="s">
        <v>905</v>
      </c>
      <c r="G48" s="136" t="s">
        <v>798</v>
      </c>
      <c r="H48" s="136" t="s">
        <v>799</v>
      </c>
    </row>
    <row r="49" ht="16.5" customHeight="1" spans="1:7">
      <c r="A49" s="143" t="s">
        <v>906</v>
      </c>
      <c r="B49" s="49"/>
      <c r="C49" s="49"/>
      <c r="D49" s="49"/>
      <c r="E49" s="49"/>
      <c r="F49" s="49"/>
      <c r="G49" s="49"/>
    </row>
    <row r="50" s="134" customFormat="1" ht="75.75" customHeight="1" spans="1:8">
      <c r="A50" s="144"/>
      <c r="B50" s="145" t="s">
        <v>907</v>
      </c>
      <c r="C50" s="146" t="s">
        <v>908</v>
      </c>
      <c r="D50" s="144">
        <v>1.5</v>
      </c>
      <c r="E50" s="144">
        <v>1</v>
      </c>
      <c r="F50" s="145" t="s">
        <v>909</v>
      </c>
      <c r="G50" s="145" t="s">
        <v>696</v>
      </c>
      <c r="H50" s="151" t="s">
        <v>434</v>
      </c>
    </row>
    <row r="51" s="134" customFormat="1" ht="75.75" customHeight="1" spans="1:7">
      <c r="A51" s="144"/>
      <c r="B51" s="145" t="s">
        <v>910</v>
      </c>
      <c r="C51" s="146" t="s">
        <v>911</v>
      </c>
      <c r="D51" s="144">
        <v>1</v>
      </c>
      <c r="E51" s="144">
        <v>0.5</v>
      </c>
      <c r="F51" s="144"/>
      <c r="G51" s="145" t="s">
        <v>696</v>
      </c>
    </row>
    <row r="52" ht="75.75" customHeight="1" spans="1:7">
      <c r="A52" s="67"/>
      <c r="B52" s="68" t="s">
        <v>912</v>
      </c>
      <c r="C52" s="129" t="s">
        <v>913</v>
      </c>
      <c r="D52" s="67">
        <v>1</v>
      </c>
      <c r="E52" s="67">
        <v>0.5</v>
      </c>
      <c r="F52" s="67" t="s">
        <v>914</v>
      </c>
      <c r="G52" s="68" t="s">
        <v>696</v>
      </c>
    </row>
    <row r="53" ht="75.75" customHeight="1" spans="1:7">
      <c r="A53" s="67"/>
      <c r="B53" s="68" t="s">
        <v>915</v>
      </c>
      <c r="C53" s="129" t="s">
        <v>916</v>
      </c>
      <c r="D53" s="67">
        <v>0.5</v>
      </c>
      <c r="E53" s="67">
        <v>0.5</v>
      </c>
      <c r="F53" s="67"/>
      <c r="G53" s="68" t="s">
        <v>696</v>
      </c>
    </row>
    <row r="54" s="66" customFormat="1" ht="75.75" customHeight="1" spans="1:8">
      <c r="A54" s="69"/>
      <c r="B54" s="136" t="s">
        <v>917</v>
      </c>
      <c r="C54" s="136" t="s">
        <v>918</v>
      </c>
      <c r="D54" s="142">
        <v>1</v>
      </c>
      <c r="E54" s="142">
        <v>0.5</v>
      </c>
      <c r="F54" s="136" t="s">
        <v>919</v>
      </c>
      <c r="G54" s="136" t="s">
        <v>798</v>
      </c>
      <c r="H54" s="136" t="s">
        <v>799</v>
      </c>
    </row>
    <row r="55" s="66" customFormat="1" ht="75.75" customHeight="1" spans="1:8">
      <c r="A55" s="69"/>
      <c r="B55" s="136" t="s">
        <v>920</v>
      </c>
      <c r="C55" s="136" t="s">
        <v>921</v>
      </c>
      <c r="D55" s="142">
        <v>1</v>
      </c>
      <c r="E55" s="142">
        <v>1</v>
      </c>
      <c r="F55" s="136" t="s">
        <v>922</v>
      </c>
      <c r="G55" s="136" t="s">
        <v>798</v>
      </c>
      <c r="H55" s="136" t="s">
        <v>799</v>
      </c>
    </row>
    <row r="56" ht="16.5" customHeight="1" spans="1:7">
      <c r="A56" s="147" t="s">
        <v>923</v>
      </c>
      <c r="B56" s="49"/>
      <c r="C56" s="49"/>
      <c r="D56" s="49"/>
      <c r="E56" s="49"/>
      <c r="F56" s="49"/>
      <c r="G56" s="49"/>
    </row>
    <row r="57" ht="66.75" customHeight="1" spans="1:7">
      <c r="A57" s="67"/>
      <c r="B57" s="68" t="s">
        <v>924</v>
      </c>
      <c r="C57" s="129" t="s">
        <v>925</v>
      </c>
      <c r="D57" s="67">
        <v>1</v>
      </c>
      <c r="E57" s="67">
        <v>0.5</v>
      </c>
      <c r="F57" s="67"/>
      <c r="G57" s="68" t="s">
        <v>696</v>
      </c>
    </row>
    <row r="58" ht="66.75" customHeight="1" spans="1:7">
      <c r="A58" s="67"/>
      <c r="B58" s="68" t="s">
        <v>926</v>
      </c>
      <c r="C58" s="129" t="s">
        <v>927</v>
      </c>
      <c r="D58" s="67">
        <v>1</v>
      </c>
      <c r="E58" s="67">
        <v>0.5</v>
      </c>
      <c r="F58" s="68"/>
      <c r="G58" s="68" t="s">
        <v>696</v>
      </c>
    </row>
    <row r="59" ht="66.75" customHeight="1" spans="1:7">
      <c r="A59" s="67"/>
      <c r="B59" s="68" t="s">
        <v>928</v>
      </c>
      <c r="C59" s="129" t="s">
        <v>929</v>
      </c>
      <c r="D59" s="67">
        <v>1.5</v>
      </c>
      <c r="E59" s="67">
        <v>2</v>
      </c>
      <c r="F59" s="68" t="s">
        <v>930</v>
      </c>
      <c r="G59" s="68" t="s">
        <v>696</v>
      </c>
    </row>
    <row r="60" ht="66.75" customHeight="1" spans="1:7">
      <c r="A60" s="67"/>
      <c r="B60" s="68" t="s">
        <v>931</v>
      </c>
      <c r="C60" s="129" t="s">
        <v>932</v>
      </c>
      <c r="D60" s="67">
        <v>0.5</v>
      </c>
      <c r="E60" s="67">
        <v>0.5</v>
      </c>
      <c r="F60" s="68" t="s">
        <v>933</v>
      </c>
      <c r="G60" s="68" t="s">
        <v>696</v>
      </c>
    </row>
    <row r="61" s="66" customFormat="1" ht="66.75" customHeight="1" spans="1:9">
      <c r="A61" s="148"/>
      <c r="B61" s="70" t="s">
        <v>934</v>
      </c>
      <c r="C61" s="70" t="s">
        <v>935</v>
      </c>
      <c r="D61" s="69">
        <v>0.5</v>
      </c>
      <c r="E61" s="69">
        <v>1</v>
      </c>
      <c r="F61" s="70" t="s">
        <v>936</v>
      </c>
      <c r="G61" s="70" t="s">
        <v>798</v>
      </c>
      <c r="H61" s="70" t="s">
        <v>799</v>
      </c>
      <c r="I61" s="69"/>
    </row>
    <row r="62" s="66" customFormat="1" ht="66.75" customHeight="1" spans="1:9">
      <c r="A62" s="148"/>
      <c r="B62" s="70" t="s">
        <v>937</v>
      </c>
      <c r="C62" s="70" t="s">
        <v>938</v>
      </c>
      <c r="D62" s="69">
        <v>0.5</v>
      </c>
      <c r="E62" s="69">
        <v>0.5</v>
      </c>
      <c r="F62" s="70" t="s">
        <v>939</v>
      </c>
      <c r="G62" s="70" t="s">
        <v>798</v>
      </c>
      <c r="H62" s="70" t="s">
        <v>799</v>
      </c>
      <c r="I62" s="69"/>
    </row>
    <row r="63" ht="16.5" customHeight="1" spans="1:6">
      <c r="A63" s="149" t="s">
        <v>431</v>
      </c>
      <c r="B63" s="150" t="s">
        <v>432</v>
      </c>
      <c r="D63" s="150">
        <f>SUM(D2:D60)</f>
        <v>54</v>
      </c>
      <c r="E63" s="150">
        <f>SUM(E2:E60)</f>
        <v>43</v>
      </c>
      <c r="F63" s="150">
        <f>D63+E63</f>
        <v>97</v>
      </c>
    </row>
    <row r="64" ht="16.5" customHeight="1" spans="1:8">
      <c r="A64" s="75"/>
      <c r="B64" s="76"/>
      <c r="C64" s="31"/>
      <c r="D64" s="77"/>
      <c r="E64" s="77"/>
      <c r="F64" s="77"/>
      <c r="G64" s="31"/>
      <c r="H64" s="31"/>
    </row>
  </sheetData>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3"/>
  <sheetViews>
    <sheetView topLeftCell="A45" workbookViewId="0">
      <selection activeCell="H18" sqref="H18"/>
    </sheetView>
  </sheetViews>
  <sheetFormatPr defaultColWidth="9" defaultRowHeight="16.8" outlineLevelCol="7"/>
  <cols>
    <col min="1" max="1" width="20" customWidth="1"/>
    <col min="2" max="2" width="42.3076923076923" customWidth="1"/>
    <col min="3" max="3" width="64.2596153846154" customWidth="1"/>
    <col min="4" max="5" width="12" customWidth="1"/>
    <col min="6" max="6" width="40" customWidth="1"/>
    <col min="7" max="7" width="15" customWidth="1"/>
  </cols>
  <sheetData>
    <row r="1" s="126" customFormat="1" ht="33.75" customHeight="1" spans="1:7">
      <c r="A1" s="23" t="s">
        <v>342</v>
      </c>
      <c r="B1" s="23" t="s">
        <v>343</v>
      </c>
      <c r="C1" s="23" t="s">
        <v>344</v>
      </c>
      <c r="D1" s="23" t="s">
        <v>345</v>
      </c>
      <c r="E1" s="23" t="s">
        <v>346</v>
      </c>
      <c r="F1" s="23" t="s">
        <v>347</v>
      </c>
      <c r="G1" s="23" t="s">
        <v>348</v>
      </c>
    </row>
    <row r="2" s="126" customFormat="1" ht="16.5" customHeight="1" spans="1:7">
      <c r="A2" s="127" t="s">
        <v>940</v>
      </c>
      <c r="B2" s="127"/>
      <c r="C2" s="127"/>
      <c r="D2" s="127"/>
      <c r="E2" s="127"/>
      <c r="F2" s="127"/>
      <c r="G2" s="127"/>
    </row>
    <row r="3" s="126" customFormat="1" ht="93.75" customHeight="1" spans="1:7">
      <c r="A3" s="128"/>
      <c r="B3" s="129" t="s">
        <v>941</v>
      </c>
      <c r="C3" s="129" t="s">
        <v>942</v>
      </c>
      <c r="D3" s="128" t="s">
        <v>943</v>
      </c>
      <c r="E3" s="128" t="s">
        <v>943</v>
      </c>
      <c r="F3" s="129" t="s">
        <v>944</v>
      </c>
      <c r="G3" s="129" t="s">
        <v>696</v>
      </c>
    </row>
    <row r="4" s="126" customFormat="1" ht="93.75" customHeight="1" spans="1:7">
      <c r="A4" s="130"/>
      <c r="B4" s="131" t="s">
        <v>945</v>
      </c>
      <c r="C4" s="131" t="s">
        <v>946</v>
      </c>
      <c r="D4" s="130" t="s">
        <v>947</v>
      </c>
      <c r="E4" s="130" t="s">
        <v>947</v>
      </c>
      <c r="F4" s="131" t="s">
        <v>948</v>
      </c>
      <c r="G4" s="131" t="s">
        <v>696</v>
      </c>
    </row>
    <row r="5" s="126" customFormat="1" ht="93.75" customHeight="1" spans="1:7">
      <c r="A5" s="129"/>
      <c r="B5" s="129" t="s">
        <v>949</v>
      </c>
      <c r="C5" s="129" t="s">
        <v>950</v>
      </c>
      <c r="D5" s="128" t="s">
        <v>943</v>
      </c>
      <c r="E5" s="128" t="s">
        <v>943</v>
      </c>
      <c r="F5" s="129" t="s">
        <v>951</v>
      </c>
      <c r="G5" s="129" t="s">
        <v>696</v>
      </c>
    </row>
    <row r="6" s="126" customFormat="1" ht="93.75" customHeight="1" spans="1:7">
      <c r="A6" s="131"/>
      <c r="B6" s="131" t="s">
        <v>952</v>
      </c>
      <c r="C6" s="131" t="s">
        <v>953</v>
      </c>
      <c r="D6" s="130" t="s">
        <v>947</v>
      </c>
      <c r="E6" s="130" t="s">
        <v>947</v>
      </c>
      <c r="F6" s="131" t="s">
        <v>954</v>
      </c>
      <c r="G6" s="131" t="s">
        <v>696</v>
      </c>
    </row>
    <row r="7" s="126" customFormat="1" ht="93.75" customHeight="1" spans="1:7">
      <c r="A7" s="129"/>
      <c r="B7" s="129" t="s">
        <v>955</v>
      </c>
      <c r="C7" s="129" t="s">
        <v>956</v>
      </c>
      <c r="D7" s="128" t="s">
        <v>943</v>
      </c>
      <c r="E7" s="128" t="s">
        <v>943</v>
      </c>
      <c r="F7" s="129" t="s">
        <v>957</v>
      </c>
      <c r="G7" s="129" t="s">
        <v>696</v>
      </c>
    </row>
    <row r="8" s="126" customFormat="1" ht="16.5" customHeight="1" spans="1:7">
      <c r="A8" s="127" t="s">
        <v>958</v>
      </c>
      <c r="B8" s="127"/>
      <c r="C8" s="127"/>
      <c r="D8" s="127"/>
      <c r="E8" s="127"/>
      <c r="F8" s="127"/>
      <c r="G8" s="127"/>
    </row>
    <row r="9" s="126" customFormat="1" ht="118.5" customHeight="1" spans="1:7">
      <c r="A9" s="129"/>
      <c r="B9" s="129" t="s">
        <v>959</v>
      </c>
      <c r="C9" s="129" t="s">
        <v>960</v>
      </c>
      <c r="D9" s="128" t="s">
        <v>32</v>
      </c>
      <c r="E9" s="128" t="s">
        <v>54</v>
      </c>
      <c r="F9" s="128" t="s">
        <v>961</v>
      </c>
      <c r="G9" s="129" t="s">
        <v>962</v>
      </c>
    </row>
    <row r="10" s="126" customFormat="1" ht="118.5" customHeight="1" spans="1:7">
      <c r="A10" s="131"/>
      <c r="B10" s="131" t="s">
        <v>963</v>
      </c>
      <c r="C10" s="131" t="s">
        <v>964</v>
      </c>
      <c r="D10" s="130" t="s">
        <v>943</v>
      </c>
      <c r="E10" s="130" t="s">
        <v>947</v>
      </c>
      <c r="F10" s="131" t="s">
        <v>965</v>
      </c>
      <c r="G10" s="131" t="s">
        <v>696</v>
      </c>
    </row>
    <row r="11" s="126" customFormat="1" ht="118.5" customHeight="1" spans="1:7">
      <c r="A11" s="129"/>
      <c r="B11" s="129" t="s">
        <v>966</v>
      </c>
      <c r="C11" s="129" t="s">
        <v>967</v>
      </c>
      <c r="D11" s="128" t="s">
        <v>32</v>
      </c>
      <c r="E11" s="128" t="s">
        <v>54</v>
      </c>
      <c r="F11" s="128" t="s">
        <v>968</v>
      </c>
      <c r="G11" s="129" t="s">
        <v>962</v>
      </c>
    </row>
    <row r="12" s="126" customFormat="1" ht="118.5" customHeight="1" spans="1:7">
      <c r="A12" s="131"/>
      <c r="B12" s="131" t="s">
        <v>969</v>
      </c>
      <c r="C12" s="131" t="s">
        <v>970</v>
      </c>
      <c r="D12" s="130" t="s">
        <v>32</v>
      </c>
      <c r="E12" s="130" t="s">
        <v>947</v>
      </c>
      <c r="F12" s="130" t="s">
        <v>971</v>
      </c>
      <c r="G12" s="131" t="s">
        <v>962</v>
      </c>
    </row>
    <row r="13" s="126" customFormat="1" ht="16.5" customHeight="1" spans="1:7">
      <c r="A13" s="127" t="s">
        <v>972</v>
      </c>
      <c r="B13" s="127"/>
      <c r="C13" s="127"/>
      <c r="D13" s="127"/>
      <c r="E13" s="127"/>
      <c r="F13" s="127"/>
      <c r="G13" s="127"/>
    </row>
    <row r="14" s="126" customFormat="1" ht="135" customHeight="1" spans="1:7">
      <c r="A14" s="131"/>
      <c r="B14" s="131" t="s">
        <v>973</v>
      </c>
      <c r="C14" s="131" t="s">
        <v>974</v>
      </c>
      <c r="D14" s="130" t="s">
        <v>943</v>
      </c>
      <c r="E14" s="130" t="s">
        <v>943</v>
      </c>
      <c r="F14" s="131" t="s">
        <v>975</v>
      </c>
      <c r="G14" s="131" t="s">
        <v>696</v>
      </c>
    </row>
    <row r="15" s="126" customFormat="1" ht="135" customHeight="1" spans="1:7">
      <c r="A15" s="129"/>
      <c r="B15" s="129" t="s">
        <v>976</v>
      </c>
      <c r="C15" s="129" t="s">
        <v>977</v>
      </c>
      <c r="D15" s="128" t="s">
        <v>943</v>
      </c>
      <c r="E15" s="128" t="s">
        <v>943</v>
      </c>
      <c r="F15" s="129" t="s">
        <v>978</v>
      </c>
      <c r="G15" s="129" t="s">
        <v>696</v>
      </c>
    </row>
    <row r="16" s="126" customFormat="1" ht="135" customHeight="1" spans="1:7">
      <c r="A16" s="131"/>
      <c r="B16" s="131" t="s">
        <v>979</v>
      </c>
      <c r="C16" s="130" t="s">
        <v>980</v>
      </c>
      <c r="D16" s="130" t="s">
        <v>943</v>
      </c>
      <c r="E16" s="130" t="s">
        <v>947</v>
      </c>
      <c r="F16" s="131" t="s">
        <v>981</v>
      </c>
      <c r="G16" s="131" t="s">
        <v>696</v>
      </c>
    </row>
    <row r="17" s="126" customFormat="1" ht="135" customHeight="1" spans="1:7">
      <c r="A17" s="129"/>
      <c r="B17" s="129" t="s">
        <v>982</v>
      </c>
      <c r="C17" s="129" t="s">
        <v>983</v>
      </c>
      <c r="D17" s="128" t="s">
        <v>984</v>
      </c>
      <c r="E17" s="128" t="s">
        <v>984</v>
      </c>
      <c r="F17" s="129" t="s">
        <v>985</v>
      </c>
      <c r="G17" s="129" t="s">
        <v>696</v>
      </c>
    </row>
    <row r="18" s="126" customFormat="1" ht="16.5" customHeight="1" spans="1:7">
      <c r="A18" s="127" t="s">
        <v>986</v>
      </c>
      <c r="B18" s="127"/>
      <c r="C18" s="127"/>
      <c r="D18" s="127"/>
      <c r="E18" s="127"/>
      <c r="F18" s="127"/>
      <c r="G18" s="127"/>
    </row>
    <row r="19" s="126" customFormat="1" ht="165.75" customHeight="1" spans="1:7">
      <c r="A19" s="129"/>
      <c r="B19" s="129" t="s">
        <v>987</v>
      </c>
      <c r="C19" s="129" t="s">
        <v>988</v>
      </c>
      <c r="D19" s="128" t="s">
        <v>947</v>
      </c>
      <c r="E19" s="128" t="s">
        <v>54</v>
      </c>
      <c r="F19" s="128" t="s">
        <v>989</v>
      </c>
      <c r="G19" s="129" t="s">
        <v>696</v>
      </c>
    </row>
    <row r="20" s="126" customFormat="1" ht="165.75" customHeight="1" spans="1:7">
      <c r="A20" s="131"/>
      <c r="B20" s="131" t="s">
        <v>990</v>
      </c>
      <c r="C20" s="131" t="s">
        <v>991</v>
      </c>
      <c r="D20" s="130" t="s">
        <v>943</v>
      </c>
      <c r="E20" s="130" t="s">
        <v>943</v>
      </c>
      <c r="F20" s="131" t="s">
        <v>992</v>
      </c>
      <c r="G20" s="131" t="s">
        <v>696</v>
      </c>
    </row>
    <row r="21" s="126" customFormat="1" ht="165.75" customHeight="1" spans="1:7">
      <c r="A21" s="129"/>
      <c r="B21" s="129" t="s">
        <v>993</v>
      </c>
      <c r="C21" s="129" t="s">
        <v>994</v>
      </c>
      <c r="D21" s="128" t="s">
        <v>943</v>
      </c>
      <c r="E21" s="128" t="s">
        <v>943</v>
      </c>
      <c r="F21" s="128" t="s">
        <v>995</v>
      </c>
      <c r="G21" s="129" t="s">
        <v>696</v>
      </c>
    </row>
    <row r="22" s="126" customFormat="1" ht="16.5" customHeight="1" spans="1:7">
      <c r="A22" s="127" t="s">
        <v>886</v>
      </c>
      <c r="B22" s="127"/>
      <c r="C22" s="127"/>
      <c r="D22" s="127"/>
      <c r="E22" s="127"/>
      <c r="F22" s="127"/>
      <c r="G22" s="127"/>
    </row>
    <row r="23" s="126" customFormat="1" ht="85.5" customHeight="1" spans="1:7">
      <c r="A23" s="129"/>
      <c r="B23" s="129" t="s">
        <v>996</v>
      </c>
      <c r="C23" s="129" t="s">
        <v>997</v>
      </c>
      <c r="D23" s="128" t="s">
        <v>947</v>
      </c>
      <c r="E23" s="128" t="s">
        <v>943</v>
      </c>
      <c r="F23" s="129" t="s">
        <v>998</v>
      </c>
      <c r="G23" s="129" t="s">
        <v>696</v>
      </c>
    </row>
    <row r="24" s="126" customFormat="1" ht="85.5" customHeight="1" spans="1:7">
      <c r="A24" s="131"/>
      <c r="B24" s="131" t="s">
        <v>889</v>
      </c>
      <c r="C24" s="130" t="s">
        <v>999</v>
      </c>
      <c r="D24" s="130" t="s">
        <v>943</v>
      </c>
      <c r="E24" s="130" t="s">
        <v>984</v>
      </c>
      <c r="F24" s="131" t="s">
        <v>1000</v>
      </c>
      <c r="G24" s="131" t="s">
        <v>696</v>
      </c>
    </row>
    <row r="25" s="126" customFormat="1" ht="85.5" customHeight="1" spans="1:7">
      <c r="A25" s="129"/>
      <c r="B25" s="129" t="s">
        <v>1001</v>
      </c>
      <c r="C25" s="129" t="s">
        <v>1002</v>
      </c>
      <c r="D25" s="128" t="s">
        <v>947</v>
      </c>
      <c r="E25" s="128" t="s">
        <v>947</v>
      </c>
      <c r="F25" s="129" t="s">
        <v>1003</v>
      </c>
      <c r="G25" s="129" t="s">
        <v>696</v>
      </c>
    </row>
    <row r="26" s="126" customFormat="1" ht="85.5" customHeight="1" spans="1:7">
      <c r="A26" s="131"/>
      <c r="B26" s="131" t="s">
        <v>1004</v>
      </c>
      <c r="C26" s="131" t="s">
        <v>1005</v>
      </c>
      <c r="D26" s="130" t="s">
        <v>943</v>
      </c>
      <c r="E26" s="130" t="s">
        <v>943</v>
      </c>
      <c r="F26" s="131" t="s">
        <v>1006</v>
      </c>
      <c r="G26" s="131" t="s">
        <v>696</v>
      </c>
    </row>
    <row r="27" s="126" customFormat="1" ht="85.5" customHeight="1" spans="1:7">
      <c r="A27" s="129"/>
      <c r="B27" s="129" t="s">
        <v>1007</v>
      </c>
      <c r="C27" s="129" t="s">
        <v>1008</v>
      </c>
      <c r="D27" s="128" t="s">
        <v>943</v>
      </c>
      <c r="E27" s="128" t="s">
        <v>943</v>
      </c>
      <c r="F27" s="129" t="s">
        <v>1009</v>
      </c>
      <c r="G27" s="129" t="s">
        <v>696</v>
      </c>
    </row>
    <row r="28" s="126" customFormat="1" ht="16.5" customHeight="1" spans="1:7">
      <c r="A28" s="127" t="s">
        <v>1010</v>
      </c>
      <c r="B28" s="127"/>
      <c r="C28" s="127"/>
      <c r="D28" s="127"/>
      <c r="E28" s="127"/>
      <c r="F28" s="127"/>
      <c r="G28" s="127"/>
    </row>
    <row r="29" s="126" customFormat="1" ht="103.5" customHeight="1" spans="1:7">
      <c r="A29" s="129"/>
      <c r="B29" s="129" t="s">
        <v>1011</v>
      </c>
      <c r="C29" s="129" t="s">
        <v>1012</v>
      </c>
      <c r="D29" s="128" t="s">
        <v>943</v>
      </c>
      <c r="E29" s="128" t="s">
        <v>984</v>
      </c>
      <c r="F29" s="129" t="s">
        <v>1013</v>
      </c>
      <c r="G29" s="129" t="s">
        <v>696</v>
      </c>
    </row>
    <row r="30" s="126" customFormat="1" ht="103.5" customHeight="1" spans="1:7">
      <c r="A30" s="131"/>
      <c r="B30" s="131" t="s">
        <v>1014</v>
      </c>
      <c r="C30" s="131" t="s">
        <v>1015</v>
      </c>
      <c r="D30" s="130" t="s">
        <v>947</v>
      </c>
      <c r="E30" s="130" t="s">
        <v>943</v>
      </c>
      <c r="F30" s="130" t="s">
        <v>1016</v>
      </c>
      <c r="G30" s="131" t="s">
        <v>696</v>
      </c>
    </row>
    <row r="31" s="126" customFormat="1" ht="103.5" customHeight="1" spans="1:7">
      <c r="A31" s="129"/>
      <c r="B31" s="129" t="s">
        <v>1017</v>
      </c>
      <c r="C31" s="129" t="s">
        <v>1018</v>
      </c>
      <c r="D31" s="128" t="s">
        <v>984</v>
      </c>
      <c r="E31" s="128" t="s">
        <v>943</v>
      </c>
      <c r="F31" s="129" t="s">
        <v>1019</v>
      </c>
      <c r="G31" s="129" t="s">
        <v>696</v>
      </c>
    </row>
    <row r="32" s="126" customFormat="1" ht="103.5" customHeight="1" spans="1:7">
      <c r="A32" s="131"/>
      <c r="B32" s="131" t="s">
        <v>1020</v>
      </c>
      <c r="C32" s="131" t="s">
        <v>1021</v>
      </c>
      <c r="D32" s="130" t="s">
        <v>943</v>
      </c>
      <c r="E32" s="130" t="s">
        <v>943</v>
      </c>
      <c r="F32" s="131" t="s">
        <v>1022</v>
      </c>
      <c r="G32" s="131" t="s">
        <v>696</v>
      </c>
    </row>
    <row r="33" s="126" customFormat="1" ht="103.5" customHeight="1" spans="1:7">
      <c r="A33" s="129"/>
      <c r="B33" s="129" t="s">
        <v>1023</v>
      </c>
      <c r="C33" s="129" t="s">
        <v>1024</v>
      </c>
      <c r="D33" s="128" t="s">
        <v>984</v>
      </c>
      <c r="E33" s="128" t="s">
        <v>984</v>
      </c>
      <c r="F33" s="129" t="s">
        <v>1025</v>
      </c>
      <c r="G33" s="129" t="s">
        <v>696</v>
      </c>
    </row>
    <row r="34" s="126" customFormat="1" ht="16.5" customHeight="1" spans="1:7">
      <c r="A34" s="127" t="s">
        <v>1026</v>
      </c>
      <c r="B34" s="127"/>
      <c r="C34" s="127"/>
      <c r="D34" s="127"/>
      <c r="E34" s="127"/>
      <c r="F34" s="127"/>
      <c r="G34" s="127"/>
    </row>
    <row r="35" s="126" customFormat="1" ht="82.5" customHeight="1" spans="1:7">
      <c r="A35" s="129"/>
      <c r="B35" s="129" t="s">
        <v>1027</v>
      </c>
      <c r="C35" s="129" t="s">
        <v>1028</v>
      </c>
      <c r="D35" s="128" t="s">
        <v>947</v>
      </c>
      <c r="E35" s="128" t="s">
        <v>943</v>
      </c>
      <c r="F35" s="128" t="s">
        <v>1029</v>
      </c>
      <c r="G35" s="129" t="s">
        <v>696</v>
      </c>
    </row>
    <row r="36" s="126" customFormat="1" ht="82.5" customHeight="1" spans="1:7">
      <c r="A36" s="131"/>
      <c r="B36" s="131" t="s">
        <v>1030</v>
      </c>
      <c r="C36" s="131" t="s">
        <v>1031</v>
      </c>
      <c r="D36" s="130" t="s">
        <v>947</v>
      </c>
      <c r="E36" s="130" t="s">
        <v>943</v>
      </c>
      <c r="F36" s="131" t="s">
        <v>1032</v>
      </c>
      <c r="G36" s="131" t="s">
        <v>696</v>
      </c>
    </row>
    <row r="37" s="126" customFormat="1" ht="82.5" customHeight="1" spans="1:7">
      <c r="A37" s="129"/>
      <c r="B37" s="129" t="s">
        <v>1033</v>
      </c>
      <c r="C37" s="129"/>
      <c r="D37" s="128" t="s">
        <v>947</v>
      </c>
      <c r="E37" s="128" t="s">
        <v>943</v>
      </c>
      <c r="F37" s="129" t="s">
        <v>1034</v>
      </c>
      <c r="G37" s="129" t="s">
        <v>696</v>
      </c>
    </row>
    <row r="38" s="126" customFormat="1" ht="82.5" customHeight="1" spans="1:7">
      <c r="A38" s="131"/>
      <c r="B38" s="131" t="s">
        <v>1035</v>
      </c>
      <c r="C38" s="131" t="s">
        <v>1036</v>
      </c>
      <c r="D38" s="130" t="s">
        <v>943</v>
      </c>
      <c r="E38" s="130" t="s">
        <v>984</v>
      </c>
      <c r="F38" s="131" t="s">
        <v>1037</v>
      </c>
      <c r="G38" s="131" t="s">
        <v>696</v>
      </c>
    </row>
    <row r="39" s="126" customFormat="1" spans="1:8">
      <c r="A39" s="19" t="s">
        <v>1038</v>
      </c>
      <c r="B39" s="19"/>
      <c r="C39" s="19"/>
      <c r="D39" s="19"/>
      <c r="E39" s="19"/>
      <c r="F39" s="19"/>
      <c r="G39" s="19"/>
      <c r="H39" s="19"/>
    </row>
    <row r="40" ht="57.75" customHeight="1" spans="1:8">
      <c r="A40" s="22"/>
      <c r="B40" s="20" t="s">
        <v>1039</v>
      </c>
      <c r="C40" s="20" t="s">
        <v>1040</v>
      </c>
      <c r="D40" s="20">
        <v>1</v>
      </c>
      <c r="E40" s="20">
        <v>1.5</v>
      </c>
      <c r="F40" s="20" t="s">
        <v>1041</v>
      </c>
      <c r="G40" s="20" t="s">
        <v>696</v>
      </c>
      <c r="H40" s="20"/>
    </row>
    <row r="41" ht="43.5" customHeight="1" spans="1:8">
      <c r="A41" s="20"/>
      <c r="B41" s="20" t="s">
        <v>1042</v>
      </c>
      <c r="C41" s="20" t="s">
        <v>1043</v>
      </c>
      <c r="D41" s="20">
        <v>0.5</v>
      </c>
      <c r="E41" s="20">
        <v>1</v>
      </c>
      <c r="F41" s="20" t="s">
        <v>1044</v>
      </c>
      <c r="G41" s="20" t="s">
        <v>696</v>
      </c>
      <c r="H41" s="20"/>
    </row>
    <row r="42" ht="57.75" customHeight="1" spans="1:8">
      <c r="A42" s="20"/>
      <c r="B42" s="20" t="s">
        <v>1045</v>
      </c>
      <c r="C42" s="20" t="s">
        <v>1046</v>
      </c>
      <c r="D42" s="20">
        <v>1</v>
      </c>
      <c r="E42" s="20">
        <v>1.5</v>
      </c>
      <c r="F42" s="20" t="s">
        <v>1047</v>
      </c>
      <c r="G42" s="20" t="s">
        <v>696</v>
      </c>
      <c r="H42" s="20"/>
    </row>
    <row r="43" ht="57.75" customHeight="1" spans="1:8">
      <c r="A43" s="20"/>
      <c r="B43" s="20" t="s">
        <v>1048</v>
      </c>
      <c r="C43" s="20" t="s">
        <v>1049</v>
      </c>
      <c r="D43" s="20">
        <v>0.5</v>
      </c>
      <c r="E43" s="20">
        <v>1</v>
      </c>
      <c r="F43" s="20" t="s">
        <v>1050</v>
      </c>
      <c r="G43" s="20" t="s">
        <v>696</v>
      </c>
      <c r="H43" s="20"/>
    </row>
    <row r="44" spans="1:8">
      <c r="A44" s="19" t="s">
        <v>1051</v>
      </c>
      <c r="B44" s="19"/>
      <c r="C44" s="19"/>
      <c r="D44" s="19"/>
      <c r="E44" s="19"/>
      <c r="F44" s="19"/>
      <c r="G44" s="19"/>
      <c r="H44" s="19"/>
    </row>
    <row r="45" ht="87" customHeight="1" spans="1:8">
      <c r="A45" s="20"/>
      <c r="B45" s="20" t="s">
        <v>1052</v>
      </c>
      <c r="C45" s="20" t="s">
        <v>1053</v>
      </c>
      <c r="D45" s="20">
        <v>1</v>
      </c>
      <c r="E45" s="20">
        <v>1.5</v>
      </c>
      <c r="F45" s="20" t="s">
        <v>1054</v>
      </c>
      <c r="G45" s="20" t="s">
        <v>696</v>
      </c>
      <c r="H45" s="20"/>
    </row>
    <row r="46" spans="1:8">
      <c r="A46" s="19" t="s">
        <v>1055</v>
      </c>
      <c r="B46" s="19"/>
      <c r="C46" s="19"/>
      <c r="D46" s="19"/>
      <c r="E46" s="19"/>
      <c r="F46" s="19"/>
      <c r="G46" s="19"/>
      <c r="H46" s="19"/>
    </row>
    <row r="47" ht="57.75" customHeight="1" spans="1:8">
      <c r="A47" s="20"/>
      <c r="B47" s="20" t="s">
        <v>1056</v>
      </c>
      <c r="C47" s="20" t="s">
        <v>1057</v>
      </c>
      <c r="D47" s="20">
        <v>2</v>
      </c>
      <c r="E47" s="20">
        <v>1.5</v>
      </c>
      <c r="F47" s="20" t="s">
        <v>1058</v>
      </c>
      <c r="G47" s="20" t="s">
        <v>696</v>
      </c>
      <c r="H47" s="20"/>
    </row>
    <row r="48" ht="57.75" customHeight="1" spans="1:8">
      <c r="A48" s="20"/>
      <c r="B48" s="20" t="s">
        <v>1059</v>
      </c>
      <c r="C48" s="20" t="s">
        <v>1060</v>
      </c>
      <c r="D48" s="20">
        <v>1</v>
      </c>
      <c r="E48" s="20">
        <v>1</v>
      </c>
      <c r="F48" s="20" t="s">
        <v>1061</v>
      </c>
      <c r="G48" s="20" t="s">
        <v>696</v>
      </c>
      <c r="H48" s="20"/>
    </row>
    <row r="49" ht="72" customHeight="1" spans="1:8">
      <c r="A49" s="20"/>
      <c r="B49" s="20" t="s">
        <v>1062</v>
      </c>
      <c r="C49" s="20" t="s">
        <v>1063</v>
      </c>
      <c r="D49" s="20">
        <v>1</v>
      </c>
      <c r="E49" s="20">
        <v>1</v>
      </c>
      <c r="F49" s="22" t="s">
        <v>1064</v>
      </c>
      <c r="G49" s="20" t="s">
        <v>696</v>
      </c>
      <c r="H49" s="20"/>
    </row>
    <row r="50" spans="1:8">
      <c r="A50" s="19" t="s">
        <v>1065</v>
      </c>
      <c r="B50" s="19"/>
      <c r="C50" s="19"/>
      <c r="D50" s="19"/>
      <c r="E50" s="19"/>
      <c r="F50" s="19"/>
      <c r="G50" s="19"/>
      <c r="H50" s="19"/>
    </row>
    <row r="51" ht="57.75" customHeight="1" spans="1:8">
      <c r="A51" s="20"/>
      <c r="B51" s="20" t="s">
        <v>1066</v>
      </c>
      <c r="C51" s="20" t="s">
        <v>1067</v>
      </c>
      <c r="D51" s="20">
        <v>1</v>
      </c>
      <c r="E51" s="20">
        <v>1</v>
      </c>
      <c r="F51" s="20" t="s">
        <v>1068</v>
      </c>
      <c r="G51" s="20" t="s">
        <v>696</v>
      </c>
      <c r="H51" s="20"/>
    </row>
    <row r="52" ht="57.75" customHeight="1" spans="1:8">
      <c r="A52" s="20"/>
      <c r="B52" s="20" t="s">
        <v>1069</v>
      </c>
      <c r="C52" s="20" t="s">
        <v>1070</v>
      </c>
      <c r="D52" s="20">
        <v>1</v>
      </c>
      <c r="E52" s="20">
        <v>1</v>
      </c>
      <c r="F52" s="20">
        <v>2</v>
      </c>
      <c r="G52" s="20" t="s">
        <v>696</v>
      </c>
      <c r="H52" s="20"/>
    </row>
    <row r="53" spans="1:7">
      <c r="A53" s="132" t="s">
        <v>431</v>
      </c>
      <c r="B53" s="132" t="s">
        <v>432</v>
      </c>
      <c r="C53" s="132"/>
      <c r="D53" s="133">
        <v>40</v>
      </c>
      <c r="E53" s="133">
        <v>45.5</v>
      </c>
      <c r="F53" s="132">
        <v>85.5</v>
      </c>
      <c r="G53" s="132"/>
    </row>
  </sheetData>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workbookViewId="0">
      <selection activeCell="A3" sqref="A3"/>
    </sheetView>
  </sheetViews>
  <sheetFormatPr defaultColWidth="9" defaultRowHeight="16.8" outlineLevelCol="6"/>
  <cols>
    <col min="1" max="1" width="38.9423076923077" customWidth="1"/>
    <col min="2" max="2" width="35" customWidth="1"/>
    <col min="3" max="3" width="65" customWidth="1"/>
    <col min="4" max="5" width="12" customWidth="1"/>
    <col min="6" max="6" width="40" customWidth="1"/>
    <col min="7" max="7" width="15" customWidth="1"/>
  </cols>
  <sheetData>
    <row r="1" ht="30" customHeight="1" spans="1:7">
      <c r="A1" s="122" t="s">
        <v>342</v>
      </c>
      <c r="B1" s="122" t="s">
        <v>343</v>
      </c>
      <c r="C1" s="122" t="s">
        <v>344</v>
      </c>
      <c r="D1" s="122" t="s">
        <v>345</v>
      </c>
      <c r="E1" s="122" t="s">
        <v>346</v>
      </c>
      <c r="F1" s="122" t="s">
        <v>347</v>
      </c>
      <c r="G1" s="122" t="s">
        <v>348</v>
      </c>
    </row>
    <row r="2" ht="21.75" customHeight="1" spans="1:1">
      <c r="A2" s="123" t="s">
        <v>692</v>
      </c>
    </row>
    <row r="3" ht="109.5" customHeight="1" spans="1:7">
      <c r="A3" s="124"/>
      <c r="B3" s="124" t="s">
        <v>1071</v>
      </c>
      <c r="C3" s="124" t="s">
        <v>1072</v>
      </c>
      <c r="D3" s="124">
        <v>2</v>
      </c>
      <c r="E3" s="124">
        <v>2</v>
      </c>
      <c r="F3" s="124" t="s">
        <v>1073</v>
      </c>
      <c r="G3" s="124" t="s">
        <v>696</v>
      </c>
    </row>
    <row r="4" ht="79.5" customHeight="1" spans="1:7">
      <c r="A4" s="125"/>
      <c r="B4" s="125" t="s">
        <v>1074</v>
      </c>
      <c r="C4" s="125" t="s">
        <v>1075</v>
      </c>
      <c r="D4" s="125">
        <v>1</v>
      </c>
      <c r="E4" s="125">
        <v>1.5</v>
      </c>
      <c r="F4" s="125" t="s">
        <v>1076</v>
      </c>
      <c r="G4" s="125" t="s">
        <v>696</v>
      </c>
    </row>
    <row r="5" ht="79.5" customHeight="1" spans="1:7">
      <c r="A5" s="124"/>
      <c r="B5" s="124" t="s">
        <v>1077</v>
      </c>
      <c r="C5" s="124" t="s">
        <v>1078</v>
      </c>
      <c r="D5" s="124">
        <v>1.5</v>
      </c>
      <c r="E5" s="124">
        <v>2</v>
      </c>
      <c r="F5" s="124" t="s">
        <v>1079</v>
      </c>
      <c r="G5" s="124" t="s">
        <v>696</v>
      </c>
    </row>
    <row r="6" ht="21.75" customHeight="1" spans="1:1">
      <c r="A6" s="123" t="s">
        <v>706</v>
      </c>
    </row>
    <row r="7" ht="79.5" customHeight="1" spans="1:7">
      <c r="A7" s="124"/>
      <c r="B7" s="124" t="s">
        <v>1080</v>
      </c>
      <c r="C7" s="124" t="s">
        <v>1081</v>
      </c>
      <c r="D7" s="124">
        <v>1.5</v>
      </c>
      <c r="E7" s="124">
        <v>1</v>
      </c>
      <c r="F7" s="124" t="s">
        <v>1082</v>
      </c>
      <c r="G7" s="124" t="s">
        <v>696</v>
      </c>
    </row>
    <row r="8" ht="79.5" customHeight="1" spans="1:7">
      <c r="A8" s="125"/>
      <c r="B8" s="125" t="s">
        <v>1083</v>
      </c>
      <c r="C8" s="125" t="s">
        <v>1084</v>
      </c>
      <c r="D8" s="125">
        <v>1</v>
      </c>
      <c r="E8" s="125">
        <v>0.5</v>
      </c>
      <c r="F8" s="125" t="s">
        <v>1085</v>
      </c>
      <c r="G8" s="125" t="s">
        <v>696</v>
      </c>
    </row>
    <row r="9" ht="79.5" customHeight="1" spans="1:7">
      <c r="A9" s="124"/>
      <c r="B9" s="124" t="s">
        <v>1086</v>
      </c>
      <c r="C9" s="124" t="s">
        <v>1087</v>
      </c>
      <c r="D9" s="124">
        <v>1</v>
      </c>
      <c r="E9" s="124">
        <v>0.5</v>
      </c>
      <c r="F9" s="124" t="s">
        <v>1088</v>
      </c>
      <c r="G9" s="124" t="s">
        <v>696</v>
      </c>
    </row>
    <row r="10" ht="79.5" customHeight="1" spans="1:7">
      <c r="A10" s="125"/>
      <c r="B10" s="125" t="s">
        <v>1089</v>
      </c>
      <c r="C10" s="125" t="s">
        <v>1090</v>
      </c>
      <c r="D10" s="125">
        <v>1</v>
      </c>
      <c r="E10" s="125">
        <v>1</v>
      </c>
      <c r="F10" s="125" t="s">
        <v>1091</v>
      </c>
      <c r="G10" s="125" t="s">
        <v>696</v>
      </c>
    </row>
    <row r="11" ht="79.5" customHeight="1" spans="1:7">
      <c r="A11" s="124"/>
      <c r="B11" s="124" t="s">
        <v>1092</v>
      </c>
      <c r="C11" s="124" t="s">
        <v>1093</v>
      </c>
      <c r="D11" s="124">
        <v>0.5</v>
      </c>
      <c r="E11" s="124">
        <v>0.5</v>
      </c>
      <c r="F11" s="124" t="s">
        <v>1094</v>
      </c>
      <c r="G11" s="124" t="s">
        <v>696</v>
      </c>
    </row>
    <row r="12" ht="21.75" customHeight="1" spans="1:1">
      <c r="A12" s="123" t="s">
        <v>1095</v>
      </c>
    </row>
    <row r="13" ht="79.5" customHeight="1" spans="1:7">
      <c r="A13" s="124"/>
      <c r="B13" s="124" t="s">
        <v>1096</v>
      </c>
      <c r="C13" s="124" t="s">
        <v>1097</v>
      </c>
      <c r="D13" s="124">
        <v>2</v>
      </c>
      <c r="E13" s="124">
        <v>2</v>
      </c>
      <c r="F13" s="124" t="s">
        <v>1098</v>
      </c>
      <c r="G13" s="124" t="s">
        <v>696</v>
      </c>
    </row>
    <row r="14" ht="79.5" customHeight="1" spans="1:7">
      <c r="A14" s="125"/>
      <c r="B14" s="125" t="s">
        <v>1099</v>
      </c>
      <c r="C14" s="125" t="s">
        <v>1100</v>
      </c>
      <c r="D14" s="125">
        <v>1</v>
      </c>
      <c r="E14" s="125">
        <v>1</v>
      </c>
      <c r="F14" s="125" t="s">
        <v>1101</v>
      </c>
      <c r="G14" s="125" t="s">
        <v>696</v>
      </c>
    </row>
    <row r="15" ht="21.75" customHeight="1" spans="1:1">
      <c r="A15" s="123" t="s">
        <v>748</v>
      </c>
    </row>
    <row r="16" ht="79.5" customHeight="1" spans="1:7">
      <c r="A16" s="124"/>
      <c r="B16" s="124" t="s">
        <v>1102</v>
      </c>
      <c r="C16" s="124" t="s">
        <v>1103</v>
      </c>
      <c r="D16" s="124">
        <v>1</v>
      </c>
      <c r="E16" s="124">
        <v>1</v>
      </c>
      <c r="F16" s="124" t="s">
        <v>1104</v>
      </c>
      <c r="G16" s="124" t="s">
        <v>696</v>
      </c>
    </row>
    <row r="17" ht="79.5" customHeight="1" spans="1:7">
      <c r="A17" s="125"/>
      <c r="B17" s="125" t="s">
        <v>1105</v>
      </c>
      <c r="C17" s="125" t="s">
        <v>1106</v>
      </c>
      <c r="D17" s="125">
        <v>1.5</v>
      </c>
      <c r="E17" s="125">
        <v>1.5</v>
      </c>
      <c r="F17" s="125" t="s">
        <v>1107</v>
      </c>
      <c r="G17" s="125" t="s">
        <v>696</v>
      </c>
    </row>
    <row r="18" ht="79.5" customHeight="1" spans="1:7">
      <c r="A18" s="124"/>
      <c r="B18" s="124" t="s">
        <v>1108</v>
      </c>
      <c r="C18" s="124" t="s">
        <v>1109</v>
      </c>
      <c r="D18" s="124">
        <v>1</v>
      </c>
      <c r="E18" s="124">
        <v>1</v>
      </c>
      <c r="F18" s="124" t="s">
        <v>1110</v>
      </c>
      <c r="G18" s="124" t="s">
        <v>696</v>
      </c>
    </row>
    <row r="19" ht="79.5" customHeight="1" spans="1:7">
      <c r="A19" s="125"/>
      <c r="B19" s="125" t="s">
        <v>1111</v>
      </c>
      <c r="C19" s="125" t="s">
        <v>1112</v>
      </c>
      <c r="D19" s="125">
        <v>1</v>
      </c>
      <c r="E19" s="125">
        <v>1</v>
      </c>
      <c r="F19" s="125" t="s">
        <v>1113</v>
      </c>
      <c r="G19" s="125" t="s">
        <v>696</v>
      </c>
    </row>
    <row r="20" ht="79.5" customHeight="1" spans="1:7">
      <c r="A20" s="124"/>
      <c r="B20" s="124" t="s">
        <v>1114</v>
      </c>
      <c r="C20" s="124" t="s">
        <v>1115</v>
      </c>
      <c r="D20" s="124">
        <v>1</v>
      </c>
      <c r="E20" s="124">
        <v>1</v>
      </c>
      <c r="F20" s="124" t="s">
        <v>1116</v>
      </c>
      <c r="G20" s="124" t="s">
        <v>696</v>
      </c>
    </row>
    <row r="21" ht="21.75" customHeight="1" spans="1:1">
      <c r="A21" s="123" t="s">
        <v>1117</v>
      </c>
    </row>
    <row r="22" ht="79.5" customHeight="1" spans="1:7">
      <c r="A22" s="124"/>
      <c r="B22" s="124" t="s">
        <v>1118</v>
      </c>
      <c r="C22" s="124" t="s">
        <v>1119</v>
      </c>
      <c r="D22" s="124">
        <v>1</v>
      </c>
      <c r="E22" s="124">
        <v>1</v>
      </c>
      <c r="F22" s="124" t="s">
        <v>1120</v>
      </c>
      <c r="G22" s="124" t="s">
        <v>696</v>
      </c>
    </row>
    <row r="23" ht="115.5" customHeight="1" spans="1:7">
      <c r="A23" s="125"/>
      <c r="B23" s="125" t="s">
        <v>1121</v>
      </c>
      <c r="C23" s="125" t="s">
        <v>1122</v>
      </c>
      <c r="D23" s="125">
        <v>1.5</v>
      </c>
      <c r="E23" s="125">
        <v>1.5</v>
      </c>
      <c r="F23" s="125" t="s">
        <v>1123</v>
      </c>
      <c r="G23" s="125" t="s">
        <v>696</v>
      </c>
    </row>
    <row r="24" ht="79.5" customHeight="1" spans="1:7">
      <c r="A24" s="124"/>
      <c r="B24" s="124" t="s">
        <v>1124</v>
      </c>
      <c r="C24" s="124" t="s">
        <v>1125</v>
      </c>
      <c r="D24" s="124">
        <v>0.5</v>
      </c>
      <c r="E24" s="124">
        <v>0.5</v>
      </c>
      <c r="F24" s="124" t="s">
        <v>1126</v>
      </c>
      <c r="G24" s="124" t="s">
        <v>696</v>
      </c>
    </row>
    <row r="25" ht="21.75" customHeight="1" spans="1:1">
      <c r="A25" s="123" t="s">
        <v>431</v>
      </c>
    </row>
    <row r="26" ht="79.5" customHeight="1" spans="1:7">
      <c r="A26" s="124"/>
      <c r="B26" s="124" t="s">
        <v>432</v>
      </c>
      <c r="C26" s="124"/>
      <c r="D26" s="124">
        <f>SUM(D3:D25)</f>
        <v>21</v>
      </c>
      <c r="E26" s="124">
        <f>SUM(E3:E25)</f>
        <v>20.5</v>
      </c>
      <c r="F26" s="124"/>
      <c r="G26" s="124"/>
    </row>
  </sheetData>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A1" sqref="A1"/>
    </sheetView>
  </sheetViews>
  <sheetFormatPr defaultColWidth="8.53846153846154" defaultRowHeight="16.8" outlineLevelCol="7"/>
  <cols>
    <col min="1" max="1" width="16" customWidth="1"/>
    <col min="2" max="2" width="18" customWidth="1"/>
    <col min="3" max="3" width="60" customWidth="1"/>
    <col min="4" max="5" width="10" customWidth="1"/>
    <col min="6" max="6" width="40" customWidth="1"/>
    <col min="7" max="7" width="14" customWidth="1"/>
    <col min="8" max="8" width="16" customWidth="1"/>
  </cols>
  <sheetData>
    <row r="1" ht="28.5" customHeight="1" spans="1:8">
      <c r="A1" s="18" t="s">
        <v>342</v>
      </c>
      <c r="B1" s="18" t="s">
        <v>343</v>
      </c>
      <c r="C1" s="18" t="s">
        <v>344</v>
      </c>
      <c r="D1" s="18" t="s">
        <v>345</v>
      </c>
      <c r="E1" s="18" t="s">
        <v>346</v>
      </c>
      <c r="F1" s="18" t="s">
        <v>347</v>
      </c>
      <c r="G1" s="18" t="s">
        <v>348</v>
      </c>
      <c r="H1" s="18" t="s">
        <v>95</v>
      </c>
    </row>
    <row r="2" spans="1:8">
      <c r="A2" s="121" t="s">
        <v>1127</v>
      </c>
      <c r="B2" s="19"/>
      <c r="C2" s="19"/>
      <c r="D2" s="19"/>
      <c r="E2" s="19"/>
      <c r="F2" s="19"/>
      <c r="G2" s="19"/>
      <c r="H2" s="19"/>
    </row>
    <row r="3" ht="72" customHeight="1" spans="1:8">
      <c r="A3" s="20"/>
      <c r="B3" s="20" t="s">
        <v>1128</v>
      </c>
      <c r="C3" s="20" t="s">
        <v>1129</v>
      </c>
      <c r="D3" s="20">
        <v>2</v>
      </c>
      <c r="E3" s="20">
        <v>1.5</v>
      </c>
      <c r="F3" s="20" t="s">
        <v>1130</v>
      </c>
      <c r="G3" s="20" t="s">
        <v>696</v>
      </c>
      <c r="H3" s="20"/>
    </row>
    <row r="4" ht="57.75" customHeight="1" spans="1:8">
      <c r="A4" s="20"/>
      <c r="B4" s="20" t="s">
        <v>1131</v>
      </c>
      <c r="C4" s="20" t="s">
        <v>1132</v>
      </c>
      <c r="D4" s="20">
        <v>1</v>
      </c>
      <c r="E4" s="20">
        <v>1</v>
      </c>
      <c r="F4" s="20" t="s">
        <v>1133</v>
      </c>
      <c r="G4" s="20" t="s">
        <v>696</v>
      </c>
      <c r="H4" s="20"/>
    </row>
    <row r="5" ht="72" customHeight="1" spans="1:8">
      <c r="A5" s="20"/>
      <c r="B5" s="20" t="s">
        <v>1134</v>
      </c>
      <c r="C5" s="20" t="s">
        <v>1135</v>
      </c>
      <c r="D5" s="20">
        <v>2</v>
      </c>
      <c r="E5" s="20">
        <v>1.5</v>
      </c>
      <c r="F5" s="22" t="s">
        <v>1136</v>
      </c>
      <c r="G5" s="20" t="s">
        <v>696</v>
      </c>
      <c r="H5" s="20"/>
    </row>
    <row r="6" ht="72" customHeight="1" spans="1:8">
      <c r="A6" s="20"/>
      <c r="B6" s="20" t="s">
        <v>1137</v>
      </c>
      <c r="C6" s="20" t="s">
        <v>1138</v>
      </c>
      <c r="D6" s="20">
        <v>1</v>
      </c>
      <c r="E6" s="20">
        <v>1</v>
      </c>
      <c r="F6" s="22" t="s">
        <v>1139</v>
      </c>
      <c r="G6" s="20" t="s">
        <v>696</v>
      </c>
      <c r="H6" s="20"/>
    </row>
    <row r="7" spans="1:8">
      <c r="A7" s="19" t="s">
        <v>1140</v>
      </c>
      <c r="B7" s="19"/>
      <c r="C7" s="19"/>
      <c r="D7" s="19"/>
      <c r="E7" s="19"/>
      <c r="F7" s="19"/>
      <c r="G7" s="19"/>
      <c r="H7" s="19"/>
    </row>
    <row r="8" ht="72" customHeight="1" spans="1:8">
      <c r="A8" s="20"/>
      <c r="B8" s="20" t="s">
        <v>1141</v>
      </c>
      <c r="C8" s="22" t="s">
        <v>1142</v>
      </c>
      <c r="D8" s="20">
        <v>2</v>
      </c>
      <c r="E8" s="20">
        <v>1.5</v>
      </c>
      <c r="F8" s="22" t="s">
        <v>1143</v>
      </c>
      <c r="G8" s="20" t="s">
        <v>696</v>
      </c>
      <c r="H8" s="20"/>
    </row>
    <row r="9" ht="57.75" customHeight="1" spans="1:8">
      <c r="A9" s="20"/>
      <c r="B9" s="20" t="s">
        <v>1144</v>
      </c>
      <c r="C9" s="20" t="s">
        <v>1145</v>
      </c>
      <c r="D9" s="20">
        <v>1.5</v>
      </c>
      <c r="E9" s="20">
        <v>1</v>
      </c>
      <c r="F9" s="20" t="s">
        <v>1146</v>
      </c>
      <c r="G9" s="20" t="s">
        <v>696</v>
      </c>
      <c r="H9" s="20"/>
    </row>
    <row r="10" ht="57.75" customHeight="1" spans="1:8">
      <c r="A10" s="20"/>
      <c r="B10" s="20" t="s">
        <v>1147</v>
      </c>
      <c r="C10" s="20" t="s">
        <v>1148</v>
      </c>
      <c r="D10" s="20">
        <v>1</v>
      </c>
      <c r="E10" s="20">
        <v>1</v>
      </c>
      <c r="F10" s="20" t="s">
        <v>1149</v>
      </c>
      <c r="G10" s="20" t="s">
        <v>696</v>
      </c>
      <c r="H10" s="20"/>
    </row>
    <row r="11" ht="28.5" customHeight="1" spans="1:8">
      <c r="A11" s="19" t="s">
        <v>1150</v>
      </c>
      <c r="B11" s="19"/>
      <c r="C11" s="19"/>
      <c r="D11" s="19"/>
      <c r="E11" s="19"/>
      <c r="F11" s="19"/>
      <c r="G11" s="19"/>
      <c r="H11" s="19"/>
    </row>
    <row r="12" ht="72" customHeight="1" spans="1:8">
      <c r="A12" s="20"/>
      <c r="B12" s="20" t="s">
        <v>1151</v>
      </c>
      <c r="C12" s="22" t="s">
        <v>1152</v>
      </c>
      <c r="D12" s="20">
        <v>1.5</v>
      </c>
      <c r="E12" s="20">
        <v>1.5</v>
      </c>
      <c r="F12" s="20" t="s">
        <v>1153</v>
      </c>
      <c r="G12" s="20" t="s">
        <v>696</v>
      </c>
      <c r="H12" s="20"/>
    </row>
    <row r="13" spans="1:8">
      <c r="A13" s="19" t="s">
        <v>1154</v>
      </c>
      <c r="B13" s="19"/>
      <c r="C13" s="19"/>
      <c r="D13" s="19"/>
      <c r="E13" s="19"/>
      <c r="F13" s="19"/>
      <c r="G13" s="19"/>
      <c r="H13" s="19"/>
    </row>
    <row r="14" ht="72" customHeight="1" spans="1:8">
      <c r="A14" s="20"/>
      <c r="B14" s="20" t="s">
        <v>1155</v>
      </c>
      <c r="C14" s="20" t="s">
        <v>1156</v>
      </c>
      <c r="D14" s="20">
        <v>3</v>
      </c>
      <c r="E14" s="20">
        <v>2</v>
      </c>
      <c r="F14" s="22" t="s">
        <v>1157</v>
      </c>
      <c r="G14" s="20" t="s">
        <v>696</v>
      </c>
      <c r="H14" s="20"/>
    </row>
    <row r="15" ht="72" customHeight="1" spans="1:8">
      <c r="A15" s="20"/>
      <c r="B15" s="20" t="s">
        <v>1158</v>
      </c>
      <c r="C15" s="20" t="s">
        <v>1159</v>
      </c>
      <c r="D15" s="20">
        <v>3</v>
      </c>
      <c r="E15" s="20">
        <v>2</v>
      </c>
      <c r="F15" s="22" t="s">
        <v>1160</v>
      </c>
      <c r="G15" s="20" t="s">
        <v>696</v>
      </c>
      <c r="H15" s="20"/>
    </row>
    <row r="16" ht="72" customHeight="1" spans="1:8">
      <c r="A16" s="20"/>
      <c r="B16" s="20" t="s">
        <v>1161</v>
      </c>
      <c r="C16" s="20" t="s">
        <v>1162</v>
      </c>
      <c r="D16" s="20">
        <v>1.5</v>
      </c>
      <c r="E16" s="20">
        <v>1</v>
      </c>
      <c r="F16" s="20" t="s">
        <v>1163</v>
      </c>
      <c r="G16" s="20" t="s">
        <v>696</v>
      </c>
      <c r="H16" s="20"/>
    </row>
    <row r="17" spans="1:8">
      <c r="A17" s="21" t="s">
        <v>431</v>
      </c>
      <c r="B17" s="21" t="s">
        <v>432</v>
      </c>
      <c r="C17" s="21"/>
      <c r="D17" s="21">
        <f>SUM(D2:D16)</f>
        <v>19.5</v>
      </c>
      <c r="E17" s="21">
        <f>SUM(E2:E16)</f>
        <v>15</v>
      </c>
      <c r="F17" s="21">
        <f>D17+E17</f>
        <v>34.5</v>
      </c>
      <c r="G17" s="21"/>
      <c r="H17" s="21"/>
    </row>
  </sheetData>
  <pageMargins left="0.75" right="0.75" top="1" bottom="1" header="0.511811023622047" footer="0.511811023622047"/>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4"/>
  <sheetViews>
    <sheetView topLeftCell="A75" workbookViewId="0">
      <selection activeCell="C28" sqref="C28"/>
    </sheetView>
  </sheetViews>
  <sheetFormatPr defaultColWidth="9" defaultRowHeight="16.8" outlineLevelCol="7"/>
  <cols>
    <col min="1" max="1" width="20" customWidth="1"/>
    <col min="2" max="2" width="25" customWidth="1"/>
    <col min="3" max="3" width="75.7980769230769" customWidth="1"/>
    <col min="4" max="5" width="12" customWidth="1"/>
    <col min="6" max="6" width="40" customWidth="1"/>
    <col min="7" max="7" width="15" customWidth="1"/>
  </cols>
  <sheetData>
    <row r="1" ht="33.75" customHeight="1" spans="1:7">
      <c r="A1" s="23" t="s">
        <v>342</v>
      </c>
      <c r="B1" s="23" t="s">
        <v>343</v>
      </c>
      <c r="C1" s="23" t="s">
        <v>344</v>
      </c>
      <c r="D1" s="23" t="s">
        <v>345</v>
      </c>
      <c r="E1" s="23" t="s">
        <v>346</v>
      </c>
      <c r="F1" s="23" t="s">
        <v>347</v>
      </c>
      <c r="G1" s="23" t="s">
        <v>348</v>
      </c>
    </row>
    <row r="2" s="89" customFormat="1" ht="16.5" customHeight="1" spans="1:8">
      <c r="A2" s="91" t="s">
        <v>445</v>
      </c>
      <c r="B2" s="91"/>
      <c r="C2" s="91"/>
      <c r="D2" s="91"/>
      <c r="E2" s="91"/>
      <c r="F2" s="91"/>
      <c r="G2" s="91"/>
      <c r="H2" s="111" t="s">
        <v>1164</v>
      </c>
    </row>
    <row r="3" s="90" customFormat="1" ht="67.5" customHeight="1" spans="1:8">
      <c r="A3" s="92"/>
      <c r="B3" s="93" t="s">
        <v>1165</v>
      </c>
      <c r="C3" s="93" t="s">
        <v>1166</v>
      </c>
      <c r="D3" s="94">
        <v>1</v>
      </c>
      <c r="E3" s="94">
        <v>1</v>
      </c>
      <c r="F3" s="92" t="s">
        <v>1167</v>
      </c>
      <c r="G3" s="93" t="s">
        <v>696</v>
      </c>
      <c r="H3" s="112"/>
    </row>
    <row r="4" s="89" customFormat="1" ht="67.5" customHeight="1" spans="1:8">
      <c r="A4" s="95"/>
      <c r="B4" s="96" t="s">
        <v>1168</v>
      </c>
      <c r="C4" s="96" t="s">
        <v>1169</v>
      </c>
      <c r="D4" s="97">
        <v>1</v>
      </c>
      <c r="E4" s="97">
        <v>1</v>
      </c>
      <c r="F4" s="96" t="s">
        <v>1170</v>
      </c>
      <c r="G4" s="96" t="s">
        <v>696</v>
      </c>
      <c r="H4" s="113"/>
    </row>
    <row r="5" s="89" customFormat="1" ht="67.5" customHeight="1" spans="1:8">
      <c r="A5" s="98"/>
      <c r="B5" s="99" t="s">
        <v>1171</v>
      </c>
      <c r="C5" s="99" t="s">
        <v>1172</v>
      </c>
      <c r="D5" s="100">
        <v>1</v>
      </c>
      <c r="E5" s="100">
        <v>1</v>
      </c>
      <c r="F5" s="98" t="s">
        <v>1173</v>
      </c>
      <c r="G5" s="99" t="s">
        <v>696</v>
      </c>
      <c r="H5" s="113"/>
    </row>
    <row r="6" s="89" customFormat="1" ht="67.5" customHeight="1" spans="1:8">
      <c r="A6" s="95"/>
      <c r="B6" s="96" t="s">
        <v>1174</v>
      </c>
      <c r="C6" s="96" t="s">
        <v>1175</v>
      </c>
      <c r="D6" s="97">
        <v>1</v>
      </c>
      <c r="E6" s="97">
        <v>1.5</v>
      </c>
      <c r="F6" s="96" t="s">
        <v>1176</v>
      </c>
      <c r="G6" s="96" t="s">
        <v>696</v>
      </c>
      <c r="H6" s="113"/>
    </row>
    <row r="7" s="89" customFormat="1" ht="67.5" customHeight="1" spans="1:8">
      <c r="A7" s="98"/>
      <c r="B7" s="99" t="s">
        <v>383</v>
      </c>
      <c r="C7" s="99" t="s">
        <v>1177</v>
      </c>
      <c r="D7" s="100">
        <v>1.5</v>
      </c>
      <c r="E7" s="100">
        <v>1</v>
      </c>
      <c r="F7" s="99" t="s">
        <v>1178</v>
      </c>
      <c r="G7" s="99" t="s">
        <v>696</v>
      </c>
      <c r="H7" s="113"/>
    </row>
    <row r="8" s="90" customFormat="1" ht="67.5" customHeight="1" spans="1:8">
      <c r="A8" s="101"/>
      <c r="B8" s="102" t="s">
        <v>1179</v>
      </c>
      <c r="C8" s="102" t="s">
        <v>1180</v>
      </c>
      <c r="D8" s="103">
        <v>1</v>
      </c>
      <c r="E8" s="103">
        <v>0.5</v>
      </c>
      <c r="F8" s="102" t="s">
        <v>1181</v>
      </c>
      <c r="G8" s="102" t="s">
        <v>696</v>
      </c>
      <c r="H8" s="112"/>
    </row>
    <row r="9" s="90" customFormat="1" ht="67.5" customHeight="1" spans="1:8">
      <c r="A9" s="92"/>
      <c r="B9" s="93" t="s">
        <v>1182</v>
      </c>
      <c r="C9" s="93" t="s">
        <v>1183</v>
      </c>
      <c r="D9" s="94">
        <v>0.5</v>
      </c>
      <c r="E9" s="94">
        <v>0.5</v>
      </c>
      <c r="F9" s="93" t="s">
        <v>1184</v>
      </c>
      <c r="G9" s="93" t="s">
        <v>696</v>
      </c>
      <c r="H9" s="112"/>
    </row>
    <row r="10" s="90" customFormat="1" ht="67.5" customHeight="1" spans="1:8">
      <c r="A10" s="101"/>
      <c r="B10" s="102" t="s">
        <v>1185</v>
      </c>
      <c r="C10" s="102" t="s">
        <v>1186</v>
      </c>
      <c r="D10" s="103">
        <v>1</v>
      </c>
      <c r="E10" s="103">
        <v>1</v>
      </c>
      <c r="F10" s="102" t="s">
        <v>1187</v>
      </c>
      <c r="G10" s="102" t="s">
        <v>696</v>
      </c>
      <c r="H10" s="112"/>
    </row>
    <row r="11" s="89" customFormat="1" ht="16.5" customHeight="1" spans="1:8">
      <c r="A11" s="104" t="s">
        <v>1188</v>
      </c>
      <c r="B11" s="104"/>
      <c r="C11" s="104"/>
      <c r="D11" s="104"/>
      <c r="E11" s="104"/>
      <c r="F11" s="104"/>
      <c r="G11" s="104"/>
      <c r="H11" s="113"/>
    </row>
    <row r="12" s="90" customFormat="1" ht="43.5" customHeight="1" spans="1:8">
      <c r="A12" s="92"/>
      <c r="B12" s="92" t="s">
        <v>1189</v>
      </c>
      <c r="C12" s="93" t="s">
        <v>1190</v>
      </c>
      <c r="D12" s="94">
        <v>0.5</v>
      </c>
      <c r="E12" s="94">
        <v>0.5</v>
      </c>
      <c r="F12" s="92" t="s">
        <v>1191</v>
      </c>
      <c r="G12" s="93" t="s">
        <v>696</v>
      </c>
      <c r="H12" s="112"/>
    </row>
    <row r="13" s="89" customFormat="1" ht="43.5" customHeight="1" spans="1:8">
      <c r="A13" s="95"/>
      <c r="B13" s="96" t="s">
        <v>1192</v>
      </c>
      <c r="C13" s="96" t="s">
        <v>1193</v>
      </c>
      <c r="D13" s="97">
        <v>1</v>
      </c>
      <c r="E13" s="97">
        <v>0.5</v>
      </c>
      <c r="F13" s="96" t="s">
        <v>1194</v>
      </c>
      <c r="G13" s="96" t="s">
        <v>696</v>
      </c>
      <c r="H13" s="113"/>
    </row>
    <row r="14" s="89" customFormat="1" ht="43.5" customHeight="1" spans="1:8">
      <c r="A14" s="98"/>
      <c r="B14" s="99" t="s">
        <v>1195</v>
      </c>
      <c r="C14" s="99" t="s">
        <v>1196</v>
      </c>
      <c r="D14" s="100">
        <v>1</v>
      </c>
      <c r="E14" s="100">
        <v>0.5</v>
      </c>
      <c r="F14" s="98" t="s">
        <v>1197</v>
      </c>
      <c r="G14" s="99" t="s">
        <v>696</v>
      </c>
      <c r="H14" s="113"/>
    </row>
    <row r="15" s="90" customFormat="1" ht="43.5" customHeight="1" spans="1:8">
      <c r="A15" s="101"/>
      <c r="B15" s="102" t="s">
        <v>1198</v>
      </c>
      <c r="C15" s="102" t="s">
        <v>1199</v>
      </c>
      <c r="D15" s="103">
        <v>1</v>
      </c>
      <c r="E15" s="103">
        <v>0.5</v>
      </c>
      <c r="F15" s="102" t="s">
        <v>1200</v>
      </c>
      <c r="G15" s="102" t="s">
        <v>696</v>
      </c>
      <c r="H15" s="112"/>
    </row>
    <row r="16" s="90" customFormat="1" ht="43.5" customHeight="1" spans="1:8">
      <c r="A16" s="92"/>
      <c r="B16" s="93" t="s">
        <v>1201</v>
      </c>
      <c r="C16" s="93" t="s">
        <v>1202</v>
      </c>
      <c r="D16" s="94">
        <v>1</v>
      </c>
      <c r="E16" s="94">
        <v>0.5</v>
      </c>
      <c r="F16" s="93" t="s">
        <v>1203</v>
      </c>
      <c r="G16" s="93" t="s">
        <v>696</v>
      </c>
      <c r="H16" s="112"/>
    </row>
    <row r="17" s="90" customFormat="1" ht="43.5" customHeight="1" spans="1:8">
      <c r="A17" s="101"/>
      <c r="B17" s="102" t="s">
        <v>1204</v>
      </c>
      <c r="C17" s="102" t="s">
        <v>1205</v>
      </c>
      <c r="D17" s="103">
        <v>1.5</v>
      </c>
      <c r="E17" s="103">
        <v>1.5</v>
      </c>
      <c r="F17" s="102" t="s">
        <v>1206</v>
      </c>
      <c r="G17" s="102" t="s">
        <v>696</v>
      </c>
      <c r="H17" s="112"/>
    </row>
    <row r="18" s="89" customFormat="1" ht="16.5" customHeight="1" spans="1:8">
      <c r="A18" s="91" t="s">
        <v>780</v>
      </c>
      <c r="B18" s="91"/>
      <c r="C18" s="91"/>
      <c r="D18" s="91"/>
      <c r="E18" s="91"/>
      <c r="F18" s="91"/>
      <c r="G18" s="91"/>
      <c r="H18" s="113"/>
    </row>
    <row r="19" s="89" customFormat="1" ht="54" customHeight="1" spans="1:8">
      <c r="A19" s="98"/>
      <c r="B19" s="99" t="s">
        <v>1207</v>
      </c>
      <c r="C19" s="99" t="s">
        <v>1208</v>
      </c>
      <c r="D19" s="100">
        <v>1</v>
      </c>
      <c r="E19" s="100">
        <v>0.5</v>
      </c>
      <c r="F19" s="98" t="s">
        <v>1209</v>
      </c>
      <c r="G19" s="99" t="s">
        <v>696</v>
      </c>
      <c r="H19" s="113"/>
    </row>
    <row r="20" s="90" customFormat="1" ht="54" customHeight="1" spans="1:8">
      <c r="A20" s="101"/>
      <c r="B20" s="102" t="s">
        <v>1210</v>
      </c>
      <c r="C20" s="102" t="s">
        <v>1211</v>
      </c>
      <c r="D20" s="103">
        <v>1.5</v>
      </c>
      <c r="E20" s="103">
        <v>1</v>
      </c>
      <c r="F20" s="102" t="s">
        <v>1212</v>
      </c>
      <c r="G20" s="102" t="s">
        <v>696</v>
      </c>
      <c r="H20" s="112"/>
    </row>
    <row r="21" s="90" customFormat="1" ht="54" customHeight="1" spans="1:8">
      <c r="A21" s="92"/>
      <c r="B21" s="93" t="s">
        <v>1213</v>
      </c>
      <c r="C21" s="93" t="s">
        <v>1214</v>
      </c>
      <c r="D21" s="94">
        <v>0.5</v>
      </c>
      <c r="E21" s="94">
        <v>0.5</v>
      </c>
      <c r="F21" s="93" t="s">
        <v>1215</v>
      </c>
      <c r="G21" s="93" t="s">
        <v>696</v>
      </c>
      <c r="H21" s="112"/>
    </row>
    <row r="22" s="89" customFormat="1" ht="54" customHeight="1" spans="1:8">
      <c r="A22" s="95"/>
      <c r="B22" s="96" t="s">
        <v>1216</v>
      </c>
      <c r="C22" s="96" t="s">
        <v>1217</v>
      </c>
      <c r="D22" s="97">
        <v>1</v>
      </c>
      <c r="E22" s="97">
        <v>0.5</v>
      </c>
      <c r="F22" s="96" t="s">
        <v>1218</v>
      </c>
      <c r="G22" s="96" t="s">
        <v>696</v>
      </c>
      <c r="H22" s="113"/>
    </row>
    <row r="23" s="90" customFormat="1" ht="54" customHeight="1" spans="1:8">
      <c r="A23" s="92"/>
      <c r="B23" s="93" t="s">
        <v>786</v>
      </c>
      <c r="C23" s="93" t="s">
        <v>1219</v>
      </c>
      <c r="D23" s="94">
        <v>1.5</v>
      </c>
      <c r="E23" s="94">
        <v>1</v>
      </c>
      <c r="F23" s="93" t="s">
        <v>1220</v>
      </c>
      <c r="G23" s="93" t="s">
        <v>696</v>
      </c>
      <c r="H23" s="112"/>
    </row>
    <row r="24" s="89" customFormat="1" ht="16.5" customHeight="1" spans="1:8">
      <c r="A24" s="91" t="s">
        <v>783</v>
      </c>
      <c r="B24" s="91"/>
      <c r="C24" s="91"/>
      <c r="D24" s="91"/>
      <c r="E24" s="91"/>
      <c r="F24" s="91"/>
      <c r="G24" s="91"/>
      <c r="H24" s="113"/>
    </row>
    <row r="25" s="89" customFormat="1" ht="45.75" customHeight="1" spans="1:8">
      <c r="A25" s="98"/>
      <c r="B25" s="99" t="s">
        <v>1221</v>
      </c>
      <c r="C25" s="98" t="s">
        <v>1222</v>
      </c>
      <c r="D25" s="100">
        <v>1.5</v>
      </c>
      <c r="E25" s="100">
        <v>0.5</v>
      </c>
      <c r="F25" s="98" t="s">
        <v>1223</v>
      </c>
      <c r="G25" s="99" t="s">
        <v>696</v>
      </c>
      <c r="H25" s="113"/>
    </row>
    <row r="26" s="89" customFormat="1" ht="45.75" customHeight="1" spans="1:8">
      <c r="A26" s="95"/>
      <c r="B26" s="96" t="s">
        <v>1224</v>
      </c>
      <c r="C26" s="96" t="s">
        <v>1225</v>
      </c>
      <c r="D26" s="97">
        <v>1</v>
      </c>
      <c r="E26" s="97">
        <v>0.5</v>
      </c>
      <c r="F26" s="95" t="s">
        <v>1226</v>
      </c>
      <c r="G26" s="96" t="s">
        <v>696</v>
      </c>
      <c r="H26" s="113"/>
    </row>
    <row r="27" s="89" customFormat="1" ht="45.75" customHeight="1" spans="1:8">
      <c r="A27" s="98"/>
      <c r="B27" s="99" t="s">
        <v>1227</v>
      </c>
      <c r="C27" s="99" t="s">
        <v>1228</v>
      </c>
      <c r="D27" s="100">
        <v>1</v>
      </c>
      <c r="E27" s="100">
        <v>0.5</v>
      </c>
      <c r="F27" s="98" t="s">
        <v>1229</v>
      </c>
      <c r="G27" s="99" t="s">
        <v>696</v>
      </c>
      <c r="H27" s="113"/>
    </row>
    <row r="28" s="89" customFormat="1" ht="45.75" customHeight="1" spans="1:8">
      <c r="A28" s="95"/>
      <c r="B28" s="96" t="s">
        <v>1230</v>
      </c>
      <c r="C28" s="95" t="s">
        <v>1231</v>
      </c>
      <c r="D28" s="97">
        <v>0.5</v>
      </c>
      <c r="E28" s="97">
        <v>0.5</v>
      </c>
      <c r="F28" s="96" t="s">
        <v>1232</v>
      </c>
      <c r="G28" s="96" t="s">
        <v>696</v>
      </c>
      <c r="H28" s="113"/>
    </row>
    <row r="29" s="90" customFormat="1" ht="45.75" customHeight="1" spans="1:8">
      <c r="A29" s="92"/>
      <c r="B29" s="93" t="s">
        <v>1233</v>
      </c>
      <c r="C29" s="93" t="s">
        <v>1234</v>
      </c>
      <c r="D29" s="94">
        <v>1</v>
      </c>
      <c r="E29" s="94">
        <v>1</v>
      </c>
      <c r="F29" s="93" t="s">
        <v>1235</v>
      </c>
      <c r="G29" s="93" t="s">
        <v>696</v>
      </c>
      <c r="H29" s="112"/>
    </row>
    <row r="30" s="89" customFormat="1" ht="45.75" customHeight="1" spans="1:8">
      <c r="A30" s="95"/>
      <c r="B30" s="96" t="s">
        <v>1236</v>
      </c>
      <c r="C30" s="96" t="s">
        <v>1237</v>
      </c>
      <c r="D30" s="97">
        <v>0.5</v>
      </c>
      <c r="E30" s="97">
        <v>0.5</v>
      </c>
      <c r="F30" s="96" t="s">
        <v>1238</v>
      </c>
      <c r="G30" s="96" t="s">
        <v>696</v>
      </c>
      <c r="H30" s="113"/>
    </row>
    <row r="31" ht="16.5" customHeight="1" spans="1:8">
      <c r="A31" s="105" t="s">
        <v>1239</v>
      </c>
      <c r="B31" s="105"/>
      <c r="C31" s="105"/>
      <c r="D31" s="105"/>
      <c r="E31" s="105"/>
      <c r="F31" s="105"/>
      <c r="G31" s="105"/>
      <c r="H31" s="114"/>
    </row>
    <row r="32" ht="40.5" customHeight="1" spans="1:8">
      <c r="A32" s="106"/>
      <c r="B32" s="107" t="s">
        <v>1240</v>
      </c>
      <c r="C32" s="107" t="s">
        <v>1241</v>
      </c>
      <c r="D32" s="108">
        <v>1</v>
      </c>
      <c r="E32" s="108">
        <v>1</v>
      </c>
      <c r="F32" s="106" t="s">
        <v>1242</v>
      </c>
      <c r="G32" s="107" t="s">
        <v>696</v>
      </c>
      <c r="H32" s="114"/>
    </row>
    <row r="33" ht="40.5" customHeight="1" spans="1:8">
      <c r="A33" s="109"/>
      <c r="B33" s="78" t="s">
        <v>1243</v>
      </c>
      <c r="C33" s="78" t="s">
        <v>1244</v>
      </c>
      <c r="D33" s="110">
        <v>1.5</v>
      </c>
      <c r="E33" s="110">
        <v>1</v>
      </c>
      <c r="F33" s="78" t="s">
        <v>1245</v>
      </c>
      <c r="G33" s="78" t="s">
        <v>696</v>
      </c>
      <c r="H33" s="114"/>
    </row>
    <row r="34" ht="40.5" customHeight="1" spans="1:8">
      <c r="A34" s="106"/>
      <c r="B34" s="107" t="s">
        <v>1246</v>
      </c>
      <c r="C34" s="107" t="s">
        <v>1247</v>
      </c>
      <c r="D34" s="108">
        <v>1.5</v>
      </c>
      <c r="E34" s="108">
        <v>1</v>
      </c>
      <c r="F34" s="107" t="s">
        <v>1248</v>
      </c>
      <c r="G34" s="107" t="s">
        <v>696</v>
      </c>
      <c r="H34" s="114"/>
    </row>
    <row r="35" ht="40.5" customHeight="1" spans="1:8">
      <c r="A35" s="109"/>
      <c r="B35" s="78" t="s">
        <v>806</v>
      </c>
      <c r="C35" s="78" t="s">
        <v>1249</v>
      </c>
      <c r="D35" s="110">
        <v>1</v>
      </c>
      <c r="E35" s="110">
        <v>1</v>
      </c>
      <c r="F35" s="78" t="s">
        <v>1250</v>
      </c>
      <c r="G35" s="78" t="s">
        <v>696</v>
      </c>
      <c r="H35" s="114"/>
    </row>
    <row r="36" ht="40.5" customHeight="1" spans="1:8">
      <c r="A36" s="106"/>
      <c r="B36" s="107" t="s">
        <v>1251</v>
      </c>
      <c r="C36" s="107" t="s">
        <v>1252</v>
      </c>
      <c r="D36" s="108">
        <v>1.5</v>
      </c>
      <c r="E36" s="108">
        <v>1</v>
      </c>
      <c r="F36" s="107" t="s">
        <v>1253</v>
      </c>
      <c r="G36" s="107" t="s">
        <v>696</v>
      </c>
      <c r="H36" s="114"/>
    </row>
    <row r="37" ht="40.5" customHeight="1" spans="1:8">
      <c r="A37" s="109"/>
      <c r="B37" s="78" t="s">
        <v>1254</v>
      </c>
      <c r="C37" s="78" t="s">
        <v>1255</v>
      </c>
      <c r="D37" s="110">
        <v>1</v>
      </c>
      <c r="E37" s="110">
        <v>0.5</v>
      </c>
      <c r="F37" s="78" t="s">
        <v>1256</v>
      </c>
      <c r="G37" s="78" t="s">
        <v>696</v>
      </c>
      <c r="H37" s="114"/>
    </row>
    <row r="38" ht="16.5" customHeight="1" spans="1:8">
      <c r="A38" s="105" t="s">
        <v>1257</v>
      </c>
      <c r="B38" s="105"/>
      <c r="C38" s="105"/>
      <c r="D38" s="105"/>
      <c r="E38" s="105"/>
      <c r="F38" s="105"/>
      <c r="G38" s="105"/>
      <c r="H38" s="114"/>
    </row>
    <row r="39" ht="42" customHeight="1" spans="1:8">
      <c r="A39" s="106"/>
      <c r="B39" s="107" t="s">
        <v>1258</v>
      </c>
      <c r="C39" s="107" t="s">
        <v>1259</v>
      </c>
      <c r="D39" s="108">
        <v>2</v>
      </c>
      <c r="E39" s="108">
        <v>1.5</v>
      </c>
      <c r="F39" s="107" t="s">
        <v>1260</v>
      </c>
      <c r="G39" s="107" t="s">
        <v>696</v>
      </c>
      <c r="H39" s="114"/>
    </row>
    <row r="40" ht="42" customHeight="1" spans="1:8">
      <c r="A40" s="109"/>
      <c r="B40" s="78" t="s">
        <v>1261</v>
      </c>
      <c r="C40" s="78" t="s">
        <v>1262</v>
      </c>
      <c r="D40" s="110">
        <v>1.5</v>
      </c>
      <c r="E40" s="110">
        <v>1.5</v>
      </c>
      <c r="F40" s="78" t="s">
        <v>1263</v>
      </c>
      <c r="G40" s="78" t="s">
        <v>696</v>
      </c>
      <c r="H40" s="114"/>
    </row>
    <row r="41" ht="42" customHeight="1" spans="1:8">
      <c r="A41" s="106"/>
      <c r="B41" s="107" t="s">
        <v>1264</v>
      </c>
      <c r="C41" s="107" t="s">
        <v>1265</v>
      </c>
      <c r="D41" s="108">
        <v>1</v>
      </c>
      <c r="E41" s="108">
        <v>0.5</v>
      </c>
      <c r="F41" s="107" t="s">
        <v>1266</v>
      </c>
      <c r="G41" s="107" t="s">
        <v>696</v>
      </c>
      <c r="H41" s="114"/>
    </row>
    <row r="42" ht="42" customHeight="1" spans="1:8">
      <c r="A42" s="109"/>
      <c r="B42" s="78" t="s">
        <v>1267</v>
      </c>
      <c r="C42" s="78" t="s">
        <v>1268</v>
      </c>
      <c r="D42" s="110">
        <v>1</v>
      </c>
      <c r="E42" s="110">
        <v>0.5</v>
      </c>
      <c r="F42" s="78" t="s">
        <v>1269</v>
      </c>
      <c r="G42" s="78" t="s">
        <v>696</v>
      </c>
      <c r="H42" s="114"/>
    </row>
    <row r="43" ht="42" customHeight="1" spans="1:8">
      <c r="A43" s="106"/>
      <c r="B43" s="107" t="s">
        <v>1270</v>
      </c>
      <c r="C43" s="107" t="s">
        <v>1271</v>
      </c>
      <c r="D43" s="108">
        <v>1</v>
      </c>
      <c r="E43" s="108">
        <v>0.5</v>
      </c>
      <c r="F43" s="107" t="s">
        <v>1272</v>
      </c>
      <c r="G43" s="107" t="s">
        <v>696</v>
      </c>
      <c r="H43" s="114"/>
    </row>
    <row r="44" ht="16.5" customHeight="1" spans="1:8">
      <c r="A44" s="105" t="s">
        <v>1273</v>
      </c>
      <c r="B44" s="105"/>
      <c r="C44" s="105"/>
      <c r="D44" s="105"/>
      <c r="E44" s="105"/>
      <c r="F44" s="105"/>
      <c r="G44" s="105"/>
      <c r="H44" s="114"/>
    </row>
    <row r="45" ht="54" customHeight="1" spans="1:8">
      <c r="A45" s="106"/>
      <c r="B45" s="107" t="s">
        <v>1274</v>
      </c>
      <c r="C45" s="107" t="s">
        <v>1275</v>
      </c>
      <c r="D45" s="108">
        <v>1.5</v>
      </c>
      <c r="E45" s="108">
        <v>1.5</v>
      </c>
      <c r="F45" s="107" t="s">
        <v>1276</v>
      </c>
      <c r="G45" s="107" t="s">
        <v>696</v>
      </c>
      <c r="H45" s="114"/>
    </row>
    <row r="46" ht="54" customHeight="1" spans="1:8">
      <c r="A46" s="109"/>
      <c r="B46" s="78" t="s">
        <v>1277</v>
      </c>
      <c r="C46" s="78" t="s">
        <v>1278</v>
      </c>
      <c r="D46" s="110">
        <v>1</v>
      </c>
      <c r="E46" s="110">
        <v>1</v>
      </c>
      <c r="F46" s="78" t="s">
        <v>1279</v>
      </c>
      <c r="G46" s="78" t="s">
        <v>696</v>
      </c>
      <c r="H46" s="114"/>
    </row>
    <row r="47" ht="54" customHeight="1" spans="1:8">
      <c r="A47" s="106"/>
      <c r="B47" s="107" t="s">
        <v>1280</v>
      </c>
      <c r="C47" s="107" t="s">
        <v>1281</v>
      </c>
      <c r="D47" s="108">
        <v>0.5</v>
      </c>
      <c r="E47" s="108">
        <v>0.5</v>
      </c>
      <c r="F47" s="107" t="s">
        <v>1282</v>
      </c>
      <c r="G47" s="107" t="s">
        <v>696</v>
      </c>
      <c r="H47" s="114"/>
    </row>
    <row r="48" ht="54" customHeight="1" spans="1:8">
      <c r="A48" s="109"/>
      <c r="B48" s="78" t="s">
        <v>1283</v>
      </c>
      <c r="C48" s="78" t="s">
        <v>1284</v>
      </c>
      <c r="D48" s="110">
        <v>0.5</v>
      </c>
      <c r="E48" s="110">
        <v>0.5</v>
      </c>
      <c r="F48" s="109" t="s">
        <v>1285</v>
      </c>
      <c r="G48" s="78" t="s">
        <v>696</v>
      </c>
      <c r="H48" s="114"/>
    </row>
    <row r="49" ht="54" customHeight="1" spans="1:8">
      <c r="A49" s="106"/>
      <c r="B49" s="107" t="s">
        <v>1286</v>
      </c>
      <c r="C49" s="107" t="s">
        <v>1287</v>
      </c>
      <c r="D49" s="108">
        <v>1</v>
      </c>
      <c r="E49" s="108">
        <v>1</v>
      </c>
      <c r="F49" s="107" t="s">
        <v>1288</v>
      </c>
      <c r="G49" s="107" t="s">
        <v>696</v>
      </c>
      <c r="H49" s="114"/>
    </row>
    <row r="50" ht="16.5" customHeight="1" spans="1:8">
      <c r="A50" s="105" t="s">
        <v>1010</v>
      </c>
      <c r="B50" s="105"/>
      <c r="C50" s="105"/>
      <c r="D50" s="105"/>
      <c r="E50" s="105"/>
      <c r="F50" s="105"/>
      <c r="G50" s="105"/>
      <c r="H50" s="114"/>
    </row>
    <row r="51" s="89" customFormat="1" ht="52.5" customHeight="1" spans="1:8">
      <c r="A51" s="98"/>
      <c r="B51" s="99" t="s">
        <v>1011</v>
      </c>
      <c r="C51" s="98" t="s">
        <v>1289</v>
      </c>
      <c r="D51" s="100">
        <v>1</v>
      </c>
      <c r="E51" s="100">
        <v>0.5</v>
      </c>
      <c r="F51" s="99" t="s">
        <v>1290</v>
      </c>
      <c r="G51" s="99" t="s">
        <v>696</v>
      </c>
      <c r="H51" s="111" t="s">
        <v>1164</v>
      </c>
    </row>
    <row r="52" s="89" customFormat="1" ht="52.5" customHeight="1" spans="1:8">
      <c r="A52" s="95"/>
      <c r="B52" s="96" t="s">
        <v>1291</v>
      </c>
      <c r="C52" s="96" t="s">
        <v>1292</v>
      </c>
      <c r="D52" s="97">
        <v>1.5</v>
      </c>
      <c r="E52" s="97">
        <v>0.5</v>
      </c>
      <c r="F52" s="96" t="s">
        <v>1293</v>
      </c>
      <c r="G52" s="96" t="s">
        <v>696</v>
      </c>
      <c r="H52" s="113"/>
    </row>
    <row r="53" ht="52.5" customHeight="1" spans="1:8">
      <c r="A53" s="106"/>
      <c r="B53" s="107" t="s">
        <v>1294</v>
      </c>
      <c r="C53" s="107" t="s">
        <v>1295</v>
      </c>
      <c r="D53" s="108">
        <v>0.5</v>
      </c>
      <c r="E53" s="108">
        <v>0.5</v>
      </c>
      <c r="F53" s="106" t="s">
        <v>1296</v>
      </c>
      <c r="G53" s="107" t="s">
        <v>696</v>
      </c>
      <c r="H53" s="114"/>
    </row>
    <row r="54" ht="52.5" customHeight="1" spans="1:8">
      <c r="A54" s="109"/>
      <c r="B54" s="78" t="s">
        <v>1017</v>
      </c>
      <c r="C54" s="78" t="s">
        <v>1297</v>
      </c>
      <c r="D54" s="110">
        <v>0.5</v>
      </c>
      <c r="E54" s="110">
        <v>0.5</v>
      </c>
      <c r="F54" s="78" t="s">
        <v>1298</v>
      </c>
      <c r="G54" s="78" t="s">
        <v>696</v>
      </c>
      <c r="H54" s="114"/>
    </row>
    <row r="55" ht="52.5" customHeight="1" spans="1:8">
      <c r="A55" s="106"/>
      <c r="B55" s="107" t="s">
        <v>1299</v>
      </c>
      <c r="C55" s="107" t="s">
        <v>1300</v>
      </c>
      <c r="D55" s="108">
        <v>1</v>
      </c>
      <c r="E55" s="108">
        <v>1</v>
      </c>
      <c r="F55" s="107" t="s">
        <v>1301</v>
      </c>
      <c r="G55" s="107" t="s">
        <v>696</v>
      </c>
      <c r="H55" s="114"/>
    </row>
    <row r="56" ht="52.5" customHeight="1" spans="1:8">
      <c r="A56" s="109"/>
      <c r="B56" s="78" t="s">
        <v>1302</v>
      </c>
      <c r="C56" s="78" t="s">
        <v>1303</v>
      </c>
      <c r="D56" s="110">
        <v>1.5</v>
      </c>
      <c r="E56" s="110">
        <v>1.5</v>
      </c>
      <c r="F56" s="109" t="s">
        <v>1304</v>
      </c>
      <c r="G56" s="78" t="s">
        <v>696</v>
      </c>
      <c r="H56" s="114"/>
    </row>
    <row r="57" ht="16.5" customHeight="1" spans="1:8">
      <c r="A57" s="105" t="s">
        <v>1305</v>
      </c>
      <c r="B57" s="105"/>
      <c r="C57" s="105"/>
      <c r="D57" s="105"/>
      <c r="E57" s="105"/>
      <c r="F57" s="105"/>
      <c r="G57" s="105"/>
      <c r="H57" s="114"/>
    </row>
    <row r="58" ht="54" customHeight="1" spans="1:8">
      <c r="A58" s="106"/>
      <c r="B58" s="107" t="s">
        <v>1306</v>
      </c>
      <c r="C58" s="107" t="s">
        <v>1307</v>
      </c>
      <c r="D58" s="108">
        <v>1.5</v>
      </c>
      <c r="E58" s="108">
        <v>1</v>
      </c>
      <c r="F58" s="106" t="s">
        <v>1308</v>
      </c>
      <c r="G58" s="107" t="s">
        <v>696</v>
      </c>
      <c r="H58" s="114"/>
    </row>
    <row r="59" ht="54" customHeight="1" spans="1:8">
      <c r="A59" s="109"/>
      <c r="B59" s="78" t="s">
        <v>1309</v>
      </c>
      <c r="C59" s="78" t="s">
        <v>1310</v>
      </c>
      <c r="D59" s="110">
        <v>1</v>
      </c>
      <c r="E59" s="110">
        <v>1</v>
      </c>
      <c r="F59" s="78" t="s">
        <v>1311</v>
      </c>
      <c r="G59" s="78" t="s">
        <v>696</v>
      </c>
      <c r="H59" s="114"/>
    </row>
    <row r="60" ht="54" customHeight="1" spans="1:8">
      <c r="A60" s="106"/>
      <c r="B60" s="107" t="s">
        <v>1312</v>
      </c>
      <c r="C60" s="107" t="s">
        <v>1313</v>
      </c>
      <c r="D60" s="108">
        <v>1</v>
      </c>
      <c r="E60" s="108">
        <v>0.5</v>
      </c>
      <c r="F60" s="107" t="s">
        <v>1314</v>
      </c>
      <c r="G60" s="107" t="s">
        <v>696</v>
      </c>
      <c r="H60" s="114"/>
    </row>
    <row r="61" ht="54" customHeight="1" spans="1:8">
      <c r="A61" s="109"/>
      <c r="B61" s="78" t="s">
        <v>1315</v>
      </c>
      <c r="C61" s="78" t="s">
        <v>1316</v>
      </c>
      <c r="D61" s="110">
        <v>0.5</v>
      </c>
      <c r="E61" s="110">
        <v>0.5</v>
      </c>
      <c r="F61" s="78" t="s">
        <v>1317</v>
      </c>
      <c r="G61" s="78" t="s">
        <v>696</v>
      </c>
      <c r="H61" s="114"/>
    </row>
    <row r="62" ht="16.5" customHeight="1" spans="1:8">
      <c r="A62" s="105" t="s">
        <v>1318</v>
      </c>
      <c r="B62" s="105"/>
      <c r="C62" s="105"/>
      <c r="D62" s="105"/>
      <c r="E62" s="105"/>
      <c r="F62" s="105"/>
      <c r="G62" s="105"/>
      <c r="H62" s="114"/>
    </row>
    <row r="63" ht="60" customHeight="1" spans="1:8">
      <c r="A63" s="106"/>
      <c r="B63" s="107" t="s">
        <v>1319</v>
      </c>
      <c r="C63" s="107" t="s">
        <v>1320</v>
      </c>
      <c r="D63" s="108">
        <v>1.5</v>
      </c>
      <c r="E63" s="108">
        <v>1</v>
      </c>
      <c r="F63" s="107" t="s">
        <v>1321</v>
      </c>
      <c r="G63" s="107" t="s">
        <v>696</v>
      </c>
      <c r="H63" s="114"/>
    </row>
    <row r="64" ht="60" customHeight="1" spans="1:8">
      <c r="A64" s="109"/>
      <c r="B64" s="78" t="s">
        <v>1322</v>
      </c>
      <c r="C64" s="78" t="s">
        <v>1323</v>
      </c>
      <c r="D64" s="110">
        <v>1</v>
      </c>
      <c r="E64" s="110">
        <v>0.5</v>
      </c>
      <c r="F64" s="78" t="s">
        <v>1324</v>
      </c>
      <c r="G64" s="78" t="s">
        <v>696</v>
      </c>
      <c r="H64" s="114"/>
    </row>
    <row r="65" ht="60" customHeight="1" spans="1:8">
      <c r="A65" s="106"/>
      <c r="B65" s="107" t="s">
        <v>1325</v>
      </c>
      <c r="C65" s="107" t="s">
        <v>1326</v>
      </c>
      <c r="D65" s="108">
        <v>2</v>
      </c>
      <c r="E65" s="108">
        <v>1.5</v>
      </c>
      <c r="F65" s="107" t="s">
        <v>1327</v>
      </c>
      <c r="G65" s="107" t="s">
        <v>696</v>
      </c>
      <c r="H65" s="114"/>
    </row>
    <row r="66" ht="60" customHeight="1" spans="1:8">
      <c r="A66" s="109"/>
      <c r="B66" s="78" t="s">
        <v>1328</v>
      </c>
      <c r="C66" s="78" t="s">
        <v>1329</v>
      </c>
      <c r="D66" s="110">
        <v>1</v>
      </c>
      <c r="E66" s="110">
        <v>0.5</v>
      </c>
      <c r="F66" s="78" t="s">
        <v>1330</v>
      </c>
      <c r="G66" s="78" t="s">
        <v>696</v>
      </c>
      <c r="H66" s="114"/>
    </row>
    <row r="67" ht="60" customHeight="1" spans="1:8">
      <c r="A67" s="115"/>
      <c r="B67" s="116" t="s">
        <v>1331</v>
      </c>
      <c r="C67" s="116" t="s">
        <v>1332</v>
      </c>
      <c r="D67" s="117">
        <v>2</v>
      </c>
      <c r="E67" s="117">
        <v>2</v>
      </c>
      <c r="F67" s="115" t="s">
        <v>1333</v>
      </c>
      <c r="G67" s="116" t="s">
        <v>696</v>
      </c>
      <c r="H67" s="114"/>
    </row>
    <row r="68" ht="16.5" customHeight="1" spans="1:8">
      <c r="A68" s="105" t="s">
        <v>1334</v>
      </c>
      <c r="B68" s="105"/>
      <c r="C68" s="105"/>
      <c r="D68" s="105"/>
      <c r="E68" s="105"/>
      <c r="F68" s="105"/>
      <c r="G68" s="105"/>
      <c r="H68" s="55"/>
    </row>
    <row r="69" ht="51" customHeight="1" spans="1:8">
      <c r="A69" s="9"/>
      <c r="B69" s="10" t="s">
        <v>1335</v>
      </c>
      <c r="C69" s="11" t="s">
        <v>1336</v>
      </c>
      <c r="D69" s="9">
        <v>1.5</v>
      </c>
      <c r="E69" s="9">
        <v>1</v>
      </c>
      <c r="F69" s="11" t="s">
        <v>1337</v>
      </c>
      <c r="G69" s="11" t="s">
        <v>798</v>
      </c>
      <c r="H69" s="11" t="s">
        <v>551</v>
      </c>
    </row>
    <row r="70" ht="51" customHeight="1" spans="1:8">
      <c r="A70" s="9"/>
      <c r="B70" s="10" t="s">
        <v>1338</v>
      </c>
      <c r="C70" s="11" t="s">
        <v>1339</v>
      </c>
      <c r="D70" s="9">
        <v>2</v>
      </c>
      <c r="E70" s="9">
        <v>1.5</v>
      </c>
      <c r="F70" s="11" t="s">
        <v>1340</v>
      </c>
      <c r="G70" s="11" t="s">
        <v>798</v>
      </c>
      <c r="H70" s="11" t="s">
        <v>551</v>
      </c>
    </row>
    <row r="71" ht="16.5" customHeight="1" spans="1:8">
      <c r="A71" s="105" t="s">
        <v>1341</v>
      </c>
      <c r="B71" s="105"/>
      <c r="C71" s="105"/>
      <c r="D71" s="105"/>
      <c r="E71" s="105"/>
      <c r="F71" s="105"/>
      <c r="G71" s="105"/>
      <c r="H71" s="105"/>
    </row>
    <row r="72" ht="51" customHeight="1" spans="1:8">
      <c r="A72" s="9"/>
      <c r="B72" s="10" t="s">
        <v>1342</v>
      </c>
      <c r="C72" s="11" t="s">
        <v>1343</v>
      </c>
      <c r="D72" s="9">
        <v>2</v>
      </c>
      <c r="E72" s="9">
        <v>2</v>
      </c>
      <c r="F72" s="11" t="s">
        <v>1344</v>
      </c>
      <c r="G72" s="11" t="s">
        <v>798</v>
      </c>
      <c r="H72" s="11" t="s">
        <v>551</v>
      </c>
    </row>
    <row r="73" ht="51" customHeight="1" spans="1:8">
      <c r="A73" s="9"/>
      <c r="B73" s="10" t="s">
        <v>1345</v>
      </c>
      <c r="C73" s="11" t="s">
        <v>1346</v>
      </c>
      <c r="D73" s="9">
        <v>1</v>
      </c>
      <c r="E73" s="9">
        <v>1.5</v>
      </c>
      <c r="F73" s="9" t="s">
        <v>1347</v>
      </c>
      <c r="G73" s="11" t="s">
        <v>798</v>
      </c>
      <c r="H73" s="11" t="s">
        <v>551</v>
      </c>
    </row>
    <row r="74" ht="67.5" customHeight="1" spans="1:8">
      <c r="A74" s="9"/>
      <c r="B74" s="10" t="s">
        <v>1348</v>
      </c>
      <c r="C74" s="11" t="s">
        <v>1349</v>
      </c>
      <c r="D74" s="9">
        <v>1.5</v>
      </c>
      <c r="E74" s="9">
        <v>1</v>
      </c>
      <c r="F74" s="11" t="s">
        <v>1350</v>
      </c>
      <c r="G74" s="11" t="s">
        <v>798</v>
      </c>
      <c r="H74" s="11" t="s">
        <v>551</v>
      </c>
    </row>
    <row r="75" ht="16.5" customHeight="1" spans="1:8">
      <c r="A75" s="105" t="s">
        <v>1351</v>
      </c>
      <c r="B75" s="105"/>
      <c r="C75" s="105"/>
      <c r="D75" s="105"/>
      <c r="E75" s="105"/>
      <c r="F75" s="105"/>
      <c r="G75" s="105"/>
      <c r="H75" s="55"/>
    </row>
    <row r="76" ht="67.5" customHeight="1" spans="1:8">
      <c r="A76" s="9"/>
      <c r="B76" s="10" t="s">
        <v>1352</v>
      </c>
      <c r="C76" s="11" t="s">
        <v>1353</v>
      </c>
      <c r="D76" s="9">
        <v>1.5</v>
      </c>
      <c r="E76" s="9">
        <v>1</v>
      </c>
      <c r="F76" s="9" t="s">
        <v>1354</v>
      </c>
      <c r="G76" s="11" t="s">
        <v>798</v>
      </c>
      <c r="H76" s="11" t="s">
        <v>551</v>
      </c>
    </row>
    <row r="77" ht="67.5" customHeight="1" spans="1:8">
      <c r="A77" s="9"/>
      <c r="B77" s="10" t="s">
        <v>1355</v>
      </c>
      <c r="C77" s="11" t="s">
        <v>1356</v>
      </c>
      <c r="D77" s="9">
        <v>1.5</v>
      </c>
      <c r="E77" s="9">
        <v>1</v>
      </c>
      <c r="F77" s="9" t="s">
        <v>1357</v>
      </c>
      <c r="G77" s="11" t="s">
        <v>798</v>
      </c>
      <c r="H77" s="11" t="s">
        <v>551</v>
      </c>
    </row>
    <row r="78" ht="67.5" customHeight="1" spans="1:8">
      <c r="A78" s="9"/>
      <c r="B78" s="12" t="s">
        <v>1358</v>
      </c>
      <c r="C78" s="11" t="s">
        <v>1359</v>
      </c>
      <c r="D78" s="9">
        <v>1</v>
      </c>
      <c r="E78" s="9">
        <v>0.5</v>
      </c>
      <c r="F78" s="11" t="s">
        <v>1360</v>
      </c>
      <c r="G78" s="11" t="s">
        <v>798</v>
      </c>
      <c r="H78" s="11" t="s">
        <v>551</v>
      </c>
    </row>
    <row r="79" ht="67.5" customHeight="1" spans="1:8">
      <c r="A79" s="9"/>
      <c r="B79" s="10" t="s">
        <v>1361</v>
      </c>
      <c r="C79" s="11" t="s">
        <v>1362</v>
      </c>
      <c r="D79" s="9">
        <v>2</v>
      </c>
      <c r="E79" s="9">
        <v>1.5</v>
      </c>
      <c r="F79" s="9" t="s">
        <v>1363</v>
      </c>
      <c r="G79" s="11" t="s">
        <v>798</v>
      </c>
      <c r="H79" s="11" t="s">
        <v>551</v>
      </c>
    </row>
    <row r="80" ht="16.5" customHeight="1" spans="1:8">
      <c r="A80" s="105" t="s">
        <v>1364</v>
      </c>
      <c r="B80" s="105"/>
      <c r="C80" s="105"/>
      <c r="D80" s="105"/>
      <c r="E80" s="105"/>
      <c r="F80" s="105"/>
      <c r="G80" s="105"/>
      <c r="H80" s="55"/>
    </row>
    <row r="81" ht="67.5" customHeight="1" spans="1:8">
      <c r="A81" s="9"/>
      <c r="B81" s="10" t="s">
        <v>1365</v>
      </c>
      <c r="C81" s="11" t="s">
        <v>1366</v>
      </c>
      <c r="D81" s="9">
        <v>1</v>
      </c>
      <c r="E81" s="9">
        <v>0.5</v>
      </c>
      <c r="F81" s="11" t="s">
        <v>1367</v>
      </c>
      <c r="G81" s="11" t="s">
        <v>798</v>
      </c>
      <c r="H81" s="11" t="s">
        <v>551</v>
      </c>
    </row>
    <row r="82" ht="51" customHeight="1" spans="1:8">
      <c r="A82" s="9"/>
      <c r="B82" s="10" t="s">
        <v>1368</v>
      </c>
      <c r="C82" s="11" t="s">
        <v>1369</v>
      </c>
      <c r="D82" s="9">
        <v>1</v>
      </c>
      <c r="E82" s="9">
        <v>0.5</v>
      </c>
      <c r="F82" s="9" t="s">
        <v>1370</v>
      </c>
      <c r="G82" s="11" t="s">
        <v>798</v>
      </c>
      <c r="H82" s="11" t="s">
        <v>551</v>
      </c>
    </row>
    <row r="83" ht="67.5" customHeight="1" spans="1:8">
      <c r="A83" s="9"/>
      <c r="B83" s="118" t="s">
        <v>1371</v>
      </c>
      <c r="C83" s="11" t="s">
        <v>1372</v>
      </c>
      <c r="D83" s="9">
        <v>1.5</v>
      </c>
      <c r="E83" s="9">
        <v>1</v>
      </c>
      <c r="F83" s="9" t="s">
        <v>1373</v>
      </c>
      <c r="G83" s="11" t="s">
        <v>798</v>
      </c>
      <c r="H83" s="11" t="s">
        <v>551</v>
      </c>
    </row>
    <row r="84" spans="1:8">
      <c r="A84" s="119" t="s">
        <v>431</v>
      </c>
      <c r="B84" s="119" t="s">
        <v>1374</v>
      </c>
      <c r="C84" s="119"/>
      <c r="D84" s="119">
        <v>80.5</v>
      </c>
      <c r="E84" s="119">
        <v>60</v>
      </c>
      <c r="F84" s="119" t="s">
        <v>1375</v>
      </c>
      <c r="G84" s="119"/>
      <c r="H84" s="120"/>
    </row>
  </sheetData>
  <mergeCells count="14">
    <mergeCell ref="A2:G2"/>
    <mergeCell ref="A11:G11"/>
    <mergeCell ref="A18:G18"/>
    <mergeCell ref="A24:G24"/>
    <mergeCell ref="A31:G31"/>
    <mergeCell ref="A38:G38"/>
    <mergeCell ref="A44:G44"/>
    <mergeCell ref="A50:G50"/>
    <mergeCell ref="A57:G57"/>
    <mergeCell ref="A62:G62"/>
    <mergeCell ref="A68:G68"/>
    <mergeCell ref="A71:G71"/>
    <mergeCell ref="A75:G75"/>
    <mergeCell ref="A80:G80"/>
  </mergeCells>
  <pageMargins left="0.75" right="0.75" top="1" bottom="1" header="0.511811023622047" footer="0.511811023622047"/>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workbookViewId="0">
      <selection activeCell="G5" sqref="G5"/>
    </sheetView>
  </sheetViews>
  <sheetFormatPr defaultColWidth="9" defaultRowHeight="16.8" outlineLevelCol="7"/>
  <cols>
    <col min="1" max="1" width="12" customWidth="1"/>
    <col min="2" max="2" width="16" customWidth="1"/>
    <col min="3" max="3" width="80" customWidth="1"/>
    <col min="4" max="5" width="12" customWidth="1"/>
    <col min="6" max="6" width="40" customWidth="1"/>
    <col min="7" max="7" width="16" customWidth="1"/>
  </cols>
  <sheetData>
    <row r="1" ht="24.75" customHeight="1" spans="1:7">
      <c r="A1" s="82" t="s">
        <v>342</v>
      </c>
      <c r="B1" s="82" t="s">
        <v>343</v>
      </c>
      <c r="C1" s="82" t="s">
        <v>344</v>
      </c>
      <c r="D1" s="82" t="s">
        <v>345</v>
      </c>
      <c r="E1" s="82" t="s">
        <v>346</v>
      </c>
      <c r="F1" s="82" t="s">
        <v>347</v>
      </c>
      <c r="G1" s="82" t="s">
        <v>348</v>
      </c>
    </row>
    <row r="2" ht="15.75" customHeight="1" spans="1:7">
      <c r="A2" s="83" t="s">
        <v>1376</v>
      </c>
      <c r="B2" s="83"/>
      <c r="C2" s="83"/>
      <c r="D2" s="83"/>
      <c r="E2" s="83"/>
      <c r="F2" s="83"/>
      <c r="G2" s="83"/>
    </row>
    <row r="3" ht="133.5" customHeight="1" spans="1:7">
      <c r="A3" s="84"/>
      <c r="B3" s="84" t="s">
        <v>1377</v>
      </c>
      <c r="C3" s="84" t="s">
        <v>1378</v>
      </c>
      <c r="D3" s="85">
        <v>2</v>
      </c>
      <c r="E3" s="85">
        <v>1.5</v>
      </c>
      <c r="F3" s="87" t="s">
        <v>1379</v>
      </c>
      <c r="G3" s="86" t="s">
        <v>696</v>
      </c>
    </row>
    <row r="4" ht="133.5" customHeight="1" spans="1:7">
      <c r="A4" s="86"/>
      <c r="B4" s="86" t="s">
        <v>1380</v>
      </c>
      <c r="C4" s="84" t="s">
        <v>1381</v>
      </c>
      <c r="D4" s="87">
        <v>3</v>
      </c>
      <c r="E4" s="87">
        <v>2</v>
      </c>
      <c r="F4" s="87" t="s">
        <v>1382</v>
      </c>
      <c r="G4" s="86" t="s">
        <v>696</v>
      </c>
    </row>
    <row r="5" ht="133.5" customHeight="1" spans="1:7">
      <c r="A5" s="86"/>
      <c r="B5" s="86" t="s">
        <v>1383</v>
      </c>
      <c r="C5" s="84" t="s">
        <v>1384</v>
      </c>
      <c r="D5" s="87">
        <v>2</v>
      </c>
      <c r="E5" s="87">
        <v>1.5</v>
      </c>
      <c r="F5" s="85" t="s">
        <v>1385</v>
      </c>
      <c r="G5" s="86" t="s">
        <v>696</v>
      </c>
    </row>
    <row r="6" ht="133.5" customHeight="1" spans="1:7">
      <c r="A6" s="86"/>
      <c r="B6" s="86" t="s">
        <v>1386</v>
      </c>
      <c r="C6" s="84" t="s">
        <v>1387</v>
      </c>
      <c r="D6" s="87">
        <v>3</v>
      </c>
      <c r="E6" s="87">
        <v>3</v>
      </c>
      <c r="F6" s="87" t="s">
        <v>1388</v>
      </c>
      <c r="G6" s="86" t="s">
        <v>696</v>
      </c>
    </row>
    <row r="7" ht="18.75" customHeight="1" spans="1:7">
      <c r="A7" s="83" t="s">
        <v>1389</v>
      </c>
      <c r="B7" s="83"/>
      <c r="C7" s="83"/>
      <c r="D7" s="83"/>
      <c r="E7" s="83"/>
      <c r="F7" s="83"/>
      <c r="G7" s="83"/>
    </row>
    <row r="8" ht="213.75" customHeight="1" spans="1:7">
      <c r="A8" s="86"/>
      <c r="B8" s="86" t="s">
        <v>1390</v>
      </c>
      <c r="C8" s="84" t="s">
        <v>1391</v>
      </c>
      <c r="D8" s="87">
        <v>4</v>
      </c>
      <c r="E8" s="87">
        <v>3</v>
      </c>
      <c r="F8" s="87" t="s">
        <v>1392</v>
      </c>
      <c r="G8" s="86" t="s">
        <v>696</v>
      </c>
    </row>
    <row r="9" ht="213.75" customHeight="1" spans="1:7">
      <c r="A9" s="86"/>
      <c r="B9" s="86" t="s">
        <v>1393</v>
      </c>
      <c r="C9" s="84" t="s">
        <v>1394</v>
      </c>
      <c r="D9" s="87">
        <v>1.5</v>
      </c>
      <c r="E9" s="87">
        <v>1.5</v>
      </c>
      <c r="F9" s="87" t="s">
        <v>1395</v>
      </c>
      <c r="G9" s="86" t="s">
        <v>696</v>
      </c>
    </row>
    <row r="10" ht="213.75" customHeight="1" spans="1:7">
      <c r="A10" s="86"/>
      <c r="B10" s="86" t="s">
        <v>1396</v>
      </c>
      <c r="C10" s="84" t="s">
        <v>1397</v>
      </c>
      <c r="D10" s="87">
        <v>2</v>
      </c>
      <c r="E10" s="87">
        <v>1.5</v>
      </c>
      <c r="F10" s="87" t="s">
        <v>1398</v>
      </c>
      <c r="G10" s="86" t="s">
        <v>696</v>
      </c>
    </row>
    <row r="11" ht="213.75" customHeight="1" spans="1:7">
      <c r="A11" s="86"/>
      <c r="B11" s="86" t="s">
        <v>1399</v>
      </c>
      <c r="C11" s="84" t="s">
        <v>1400</v>
      </c>
      <c r="D11" s="87">
        <v>2.5</v>
      </c>
      <c r="E11" s="87">
        <v>2</v>
      </c>
      <c r="F11" s="85" t="s">
        <v>1401</v>
      </c>
      <c r="G11" s="86" t="s">
        <v>696</v>
      </c>
    </row>
    <row r="12" ht="19.5" customHeight="1" spans="1:7">
      <c r="A12" s="83" t="s">
        <v>1277</v>
      </c>
      <c r="B12" s="83"/>
      <c r="C12" s="83"/>
      <c r="D12" s="83"/>
      <c r="E12" s="83"/>
      <c r="F12" s="83"/>
      <c r="G12" s="83"/>
    </row>
    <row r="13" ht="198.75" customHeight="1" spans="1:7">
      <c r="A13" s="86"/>
      <c r="B13" s="86" t="s">
        <v>1402</v>
      </c>
      <c r="C13" s="84" t="s">
        <v>1403</v>
      </c>
      <c r="D13" s="87">
        <v>3</v>
      </c>
      <c r="E13" s="87">
        <v>2</v>
      </c>
      <c r="F13" s="87" t="s">
        <v>1404</v>
      </c>
      <c r="G13" s="86" t="s">
        <v>696</v>
      </c>
    </row>
    <row r="14" ht="198.75" customHeight="1" spans="1:7">
      <c r="A14" s="86"/>
      <c r="B14" s="86" t="s">
        <v>1405</v>
      </c>
      <c r="C14" s="84" t="s">
        <v>1406</v>
      </c>
      <c r="D14" s="87">
        <v>2</v>
      </c>
      <c r="E14" s="87">
        <v>2.5</v>
      </c>
      <c r="F14" s="85" t="s">
        <v>1407</v>
      </c>
      <c r="G14" s="86" t="s">
        <v>696</v>
      </c>
    </row>
    <row r="15" ht="198.75" customHeight="1" spans="1:7">
      <c r="A15" s="86"/>
      <c r="B15" s="86" t="s">
        <v>1408</v>
      </c>
      <c r="C15" s="84" t="s">
        <v>1409</v>
      </c>
      <c r="D15" s="87">
        <v>1</v>
      </c>
      <c r="E15" s="87">
        <v>0.5</v>
      </c>
      <c r="F15" s="87" t="s">
        <v>1410</v>
      </c>
      <c r="G15" s="86" t="s">
        <v>696</v>
      </c>
    </row>
    <row r="16" ht="198.75" customHeight="1" spans="1:7">
      <c r="A16" s="86"/>
      <c r="B16" s="86" t="s">
        <v>1411</v>
      </c>
      <c r="C16" s="84" t="s">
        <v>1412</v>
      </c>
      <c r="D16" s="87">
        <v>1.5</v>
      </c>
      <c r="E16" s="87">
        <v>1</v>
      </c>
      <c r="F16" s="85" t="s">
        <v>1413</v>
      </c>
      <c r="G16" s="86" t="s">
        <v>696</v>
      </c>
    </row>
    <row r="17" ht="22.5" customHeight="1" spans="1:7">
      <c r="A17" s="83" t="s">
        <v>1414</v>
      </c>
      <c r="B17" s="83"/>
      <c r="C17" s="83"/>
      <c r="D17" s="83"/>
      <c r="E17" s="83"/>
      <c r="F17" s="83"/>
      <c r="G17" s="83"/>
    </row>
    <row r="18" ht="184.5" customHeight="1" spans="1:7">
      <c r="A18" s="86"/>
      <c r="B18" s="86" t="s">
        <v>1415</v>
      </c>
      <c r="C18" s="84" t="s">
        <v>1416</v>
      </c>
      <c r="D18" s="87">
        <v>2</v>
      </c>
      <c r="E18" s="87">
        <v>2</v>
      </c>
      <c r="F18" s="87" t="s">
        <v>1417</v>
      </c>
      <c r="G18" s="86" t="s">
        <v>696</v>
      </c>
    </row>
    <row r="19" ht="184.5" customHeight="1" spans="1:7">
      <c r="A19" s="86"/>
      <c r="B19" s="86" t="s">
        <v>1418</v>
      </c>
      <c r="C19" s="84" t="s">
        <v>1419</v>
      </c>
      <c r="D19" s="87">
        <v>1</v>
      </c>
      <c r="E19" s="87">
        <v>2</v>
      </c>
      <c r="F19" s="85" t="s">
        <v>1420</v>
      </c>
      <c r="G19" s="86" t="s">
        <v>696</v>
      </c>
    </row>
    <row r="20" ht="184.5" customHeight="1" spans="1:7">
      <c r="A20" s="86"/>
      <c r="B20" s="86" t="s">
        <v>1421</v>
      </c>
      <c r="C20" s="84" t="s">
        <v>1422</v>
      </c>
      <c r="D20" s="87">
        <v>3</v>
      </c>
      <c r="E20" s="87">
        <v>2</v>
      </c>
      <c r="F20" s="85" t="s">
        <v>1423</v>
      </c>
      <c r="G20" s="86" t="s">
        <v>696</v>
      </c>
    </row>
    <row r="21" ht="184.5" customHeight="1" spans="1:7">
      <c r="A21" s="86"/>
      <c r="B21" s="86" t="s">
        <v>1424</v>
      </c>
      <c r="C21" s="84" t="s">
        <v>1425</v>
      </c>
      <c r="D21" s="87">
        <v>1.5</v>
      </c>
      <c r="E21" s="87">
        <v>1</v>
      </c>
      <c r="F21" s="87" t="s">
        <v>1426</v>
      </c>
      <c r="G21" s="86" t="s">
        <v>696</v>
      </c>
    </row>
    <row r="22" ht="25.5" customHeight="1" spans="1:7">
      <c r="A22" s="83" t="s">
        <v>1427</v>
      </c>
      <c r="B22" s="83"/>
      <c r="C22" s="83"/>
      <c r="D22" s="83"/>
      <c r="E22" s="83"/>
      <c r="F22" s="83"/>
      <c r="G22" s="83"/>
    </row>
    <row r="23" ht="147.75" customHeight="1" spans="1:7">
      <c r="A23" s="86"/>
      <c r="B23" s="86" t="s">
        <v>1428</v>
      </c>
      <c r="C23" s="84" t="s">
        <v>1429</v>
      </c>
      <c r="D23" s="87">
        <v>3</v>
      </c>
      <c r="E23" s="87">
        <v>2</v>
      </c>
      <c r="F23" s="85" t="s">
        <v>1430</v>
      </c>
      <c r="G23" s="86" t="s">
        <v>696</v>
      </c>
    </row>
    <row r="24" ht="147.75" customHeight="1" spans="1:7">
      <c r="A24" s="86"/>
      <c r="B24" s="86" t="s">
        <v>1431</v>
      </c>
      <c r="C24" s="84" t="s">
        <v>1432</v>
      </c>
      <c r="D24" s="87">
        <v>2</v>
      </c>
      <c r="E24" s="87">
        <v>2</v>
      </c>
      <c r="F24" s="87" t="s">
        <v>1433</v>
      </c>
      <c r="G24" s="86" t="s">
        <v>696</v>
      </c>
    </row>
    <row r="25" ht="147.75" customHeight="1" spans="1:7">
      <c r="A25" s="86"/>
      <c r="B25" s="86" t="s">
        <v>1434</v>
      </c>
      <c r="C25" s="84" t="s">
        <v>1435</v>
      </c>
      <c r="D25" s="87">
        <v>2.5</v>
      </c>
      <c r="E25" s="87">
        <v>2</v>
      </c>
      <c r="F25" s="85" t="s">
        <v>1436</v>
      </c>
      <c r="G25" s="86" t="s">
        <v>696</v>
      </c>
    </row>
    <row r="26" ht="147.75" customHeight="1" spans="1:7">
      <c r="A26" s="86"/>
      <c r="B26" s="86" t="s">
        <v>1437</v>
      </c>
      <c r="C26" s="84" t="s">
        <v>1438</v>
      </c>
      <c r="D26" s="87">
        <v>2.5</v>
      </c>
      <c r="E26" s="87">
        <v>2</v>
      </c>
      <c r="F26" s="85" t="s">
        <v>1439</v>
      </c>
      <c r="G26" s="86" t="s">
        <v>696</v>
      </c>
    </row>
    <row r="27" ht="16.5" customHeight="1" spans="1:8">
      <c r="A27" s="19" t="s">
        <v>1440</v>
      </c>
      <c r="B27" s="19"/>
      <c r="C27" s="19"/>
      <c r="D27" s="19"/>
      <c r="E27" s="19"/>
      <c r="F27" s="19"/>
      <c r="G27" s="19"/>
      <c r="H27" s="19"/>
    </row>
    <row r="28" ht="57.75" customHeight="1" spans="1:8">
      <c r="A28" s="20"/>
      <c r="B28" s="20" t="s">
        <v>1441</v>
      </c>
      <c r="C28" s="20" t="s">
        <v>1442</v>
      </c>
      <c r="D28" s="20">
        <v>1</v>
      </c>
      <c r="E28" s="20">
        <v>1</v>
      </c>
      <c r="F28" s="20" t="s">
        <v>1443</v>
      </c>
      <c r="G28" s="20" t="s">
        <v>696</v>
      </c>
      <c r="H28" s="20"/>
    </row>
    <row r="29" ht="57.75" customHeight="1" spans="1:8">
      <c r="A29" s="20"/>
      <c r="B29" s="20" t="s">
        <v>1444</v>
      </c>
      <c r="C29" s="20" t="s">
        <v>1445</v>
      </c>
      <c r="D29" s="20">
        <v>1</v>
      </c>
      <c r="E29" s="20">
        <v>1</v>
      </c>
      <c r="F29" s="20" t="s">
        <v>1446</v>
      </c>
      <c r="G29" s="20" t="s">
        <v>696</v>
      </c>
      <c r="H29" s="20"/>
    </row>
    <row r="30" ht="57.75" customHeight="1" spans="1:8">
      <c r="A30" s="20"/>
      <c r="B30" s="20" t="s">
        <v>1447</v>
      </c>
      <c r="C30" s="20" t="s">
        <v>1448</v>
      </c>
      <c r="D30" s="20">
        <v>1.5</v>
      </c>
      <c r="E30" s="20">
        <v>1.5</v>
      </c>
      <c r="F30" s="20" t="s">
        <v>1449</v>
      </c>
      <c r="G30" s="20" t="s">
        <v>696</v>
      </c>
      <c r="H30" s="20"/>
    </row>
    <row r="31" ht="57.75" customHeight="1" spans="1:8">
      <c r="A31" s="20"/>
      <c r="B31" s="20" t="s">
        <v>1450</v>
      </c>
      <c r="C31" s="20" t="s">
        <v>1451</v>
      </c>
      <c r="D31" s="20">
        <v>1.5</v>
      </c>
      <c r="E31" s="20">
        <v>1.5</v>
      </c>
      <c r="F31" s="20" t="s">
        <v>1452</v>
      </c>
      <c r="G31" s="20" t="s">
        <v>696</v>
      </c>
      <c r="H31" s="20"/>
    </row>
    <row r="32" spans="1:8">
      <c r="A32" s="86" t="s">
        <v>431</v>
      </c>
      <c r="B32" s="88" t="s">
        <v>1453</v>
      </c>
      <c r="C32" s="31"/>
      <c r="D32" s="77">
        <f>SUM(D2:D31)</f>
        <v>50</v>
      </c>
      <c r="E32" s="77">
        <f>SUM(E2:E31)</f>
        <v>42</v>
      </c>
      <c r="F32" s="77"/>
      <c r="G32" s="31"/>
      <c r="H32" s="31"/>
    </row>
  </sheetData>
  <mergeCells count="5">
    <mergeCell ref="A2:G2"/>
    <mergeCell ref="A7:G7"/>
    <mergeCell ref="A12:G12"/>
    <mergeCell ref="A17:G17"/>
    <mergeCell ref="A22:G22"/>
  </mergeCells>
  <pageMargins left="0.75" right="0.75" top="1" bottom="1" header="0.511811023622047" footer="0.511811023622047"/>
  <pageSetup paperSize="9"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workbookViewId="0">
      <selection activeCell="N14" sqref="N14"/>
    </sheetView>
  </sheetViews>
  <sheetFormatPr defaultColWidth="9" defaultRowHeight="16.8" outlineLevelCol="7"/>
  <cols>
    <col min="1" max="1" width="20" customWidth="1"/>
    <col min="2" max="2" width="25" customWidth="1"/>
    <col min="3" max="3" width="78.2019230769231" customWidth="1"/>
    <col min="4" max="5" width="12" customWidth="1"/>
    <col min="6" max="6" width="40" customWidth="1"/>
    <col min="7" max="7" width="15" customWidth="1"/>
  </cols>
  <sheetData>
    <row r="1" ht="33.75" customHeight="1" spans="1:7">
      <c r="A1" s="23" t="s">
        <v>342</v>
      </c>
      <c r="B1" s="23" t="s">
        <v>343</v>
      </c>
      <c r="C1" s="23" t="s">
        <v>344</v>
      </c>
      <c r="D1" s="23" t="s">
        <v>345</v>
      </c>
      <c r="E1" s="23" t="s">
        <v>346</v>
      </c>
      <c r="F1" s="23" t="s">
        <v>347</v>
      </c>
      <c r="G1" s="23" t="s">
        <v>348</v>
      </c>
    </row>
    <row r="2" ht="16.5" customHeight="1" spans="1:7">
      <c r="A2" s="49" t="s">
        <v>1454</v>
      </c>
      <c r="B2" s="49"/>
      <c r="C2" s="49"/>
      <c r="D2" s="49"/>
      <c r="E2" s="49"/>
      <c r="F2" s="49"/>
      <c r="G2" s="49"/>
    </row>
    <row r="3" ht="67.5" customHeight="1" spans="1:7">
      <c r="A3" s="67"/>
      <c r="B3" s="68" t="s">
        <v>1455</v>
      </c>
      <c r="C3" s="68" t="s">
        <v>1456</v>
      </c>
      <c r="D3" s="67" t="s">
        <v>947</v>
      </c>
      <c r="E3" s="67" t="s">
        <v>943</v>
      </c>
      <c r="F3" s="67" t="s">
        <v>1457</v>
      </c>
      <c r="G3" s="78" t="s">
        <v>696</v>
      </c>
    </row>
    <row r="4" ht="67.5" customHeight="1" spans="1:7">
      <c r="A4" s="67"/>
      <c r="B4" s="68" t="s">
        <v>1458</v>
      </c>
      <c r="C4" s="68" t="s">
        <v>1459</v>
      </c>
      <c r="D4" s="67" t="s">
        <v>947</v>
      </c>
      <c r="E4" s="67" t="s">
        <v>947</v>
      </c>
      <c r="F4" s="68" t="s">
        <v>1460</v>
      </c>
      <c r="G4" s="78" t="s">
        <v>696</v>
      </c>
    </row>
    <row r="5" ht="67.5" customHeight="1" spans="1:7">
      <c r="A5" s="67"/>
      <c r="B5" s="68" t="s">
        <v>1461</v>
      </c>
      <c r="C5" s="68" t="s">
        <v>1462</v>
      </c>
      <c r="D5" s="67" t="s">
        <v>984</v>
      </c>
      <c r="E5" s="67" t="s">
        <v>984</v>
      </c>
      <c r="F5" s="68" t="s">
        <v>1463</v>
      </c>
      <c r="G5" s="78" t="s">
        <v>696</v>
      </c>
    </row>
    <row r="6" ht="67.5" customHeight="1" spans="1:7">
      <c r="A6" s="67"/>
      <c r="B6" s="68" t="s">
        <v>1464</v>
      </c>
      <c r="C6" s="68" t="s">
        <v>1465</v>
      </c>
      <c r="D6" s="67" t="s">
        <v>943</v>
      </c>
      <c r="E6" s="67">
        <v>1</v>
      </c>
      <c r="F6" s="67" t="s">
        <v>1466</v>
      </c>
      <c r="G6" s="78" t="s">
        <v>696</v>
      </c>
    </row>
    <row r="7" ht="67.5" customHeight="1" spans="1:7">
      <c r="A7" s="67"/>
      <c r="B7" s="68" t="s">
        <v>1467</v>
      </c>
      <c r="C7" s="68" t="s">
        <v>1468</v>
      </c>
      <c r="D7" s="67" t="s">
        <v>943</v>
      </c>
      <c r="E7" s="67" t="s">
        <v>943</v>
      </c>
      <c r="F7" s="68" t="s">
        <v>1469</v>
      </c>
      <c r="G7" s="78" t="s">
        <v>696</v>
      </c>
    </row>
    <row r="8" ht="67.5" customHeight="1" spans="1:7">
      <c r="A8" s="67"/>
      <c r="B8" s="68" t="s">
        <v>1470</v>
      </c>
      <c r="C8" s="68" t="s">
        <v>1471</v>
      </c>
      <c r="D8" s="67" t="s">
        <v>943</v>
      </c>
      <c r="E8" s="67" t="s">
        <v>984</v>
      </c>
      <c r="F8" s="68" t="s">
        <v>1472</v>
      </c>
      <c r="G8" s="78" t="s">
        <v>696</v>
      </c>
    </row>
    <row r="9" s="66" customFormat="1" ht="67.5" customHeight="1" spans="1:8">
      <c r="A9" s="69"/>
      <c r="B9" s="70" t="s">
        <v>1473</v>
      </c>
      <c r="C9" s="70" t="s">
        <v>1474</v>
      </c>
      <c r="D9" s="69">
        <v>1.5</v>
      </c>
      <c r="E9" s="69">
        <v>1</v>
      </c>
      <c r="F9" s="69" t="s">
        <v>1475</v>
      </c>
      <c r="G9" s="70" t="s">
        <v>798</v>
      </c>
      <c r="H9" s="70" t="s">
        <v>799</v>
      </c>
    </row>
    <row r="10" s="66" customFormat="1" ht="67.5" customHeight="1" spans="1:8">
      <c r="A10" s="69"/>
      <c r="B10" s="70" t="s">
        <v>1476</v>
      </c>
      <c r="C10" s="70" t="s">
        <v>1477</v>
      </c>
      <c r="D10" s="69">
        <v>1</v>
      </c>
      <c r="E10" s="69">
        <v>0.5</v>
      </c>
      <c r="F10" s="70" t="s">
        <v>1478</v>
      </c>
      <c r="G10" s="70" t="s">
        <v>798</v>
      </c>
      <c r="H10" s="70" t="s">
        <v>799</v>
      </c>
    </row>
    <row r="11" s="66" customFormat="1" ht="67.5" customHeight="1" spans="1:8">
      <c r="A11" s="69"/>
      <c r="B11" s="70" t="s">
        <v>1479</v>
      </c>
      <c r="C11" s="70" t="s">
        <v>1480</v>
      </c>
      <c r="D11" s="69">
        <v>0.5</v>
      </c>
      <c r="E11" s="69">
        <v>0.5</v>
      </c>
      <c r="F11" s="70" t="s">
        <v>1481</v>
      </c>
      <c r="G11" s="70" t="s">
        <v>798</v>
      </c>
      <c r="H11" s="70" t="s">
        <v>799</v>
      </c>
    </row>
    <row r="12" ht="16.5" customHeight="1" spans="1:7">
      <c r="A12" s="49" t="s">
        <v>1482</v>
      </c>
      <c r="B12" s="49"/>
      <c r="C12" s="49"/>
      <c r="D12" s="49"/>
      <c r="E12" s="49"/>
      <c r="F12" s="49"/>
      <c r="G12" s="49"/>
    </row>
    <row r="13" ht="100.5" customHeight="1" spans="1:7">
      <c r="A13" s="67"/>
      <c r="B13" s="68" t="s">
        <v>1483</v>
      </c>
      <c r="C13" s="68" t="s">
        <v>1484</v>
      </c>
      <c r="D13" s="71">
        <v>1</v>
      </c>
      <c r="E13" s="71">
        <v>1.5</v>
      </c>
      <c r="F13" s="68" t="s">
        <v>1485</v>
      </c>
      <c r="G13" s="78" t="s">
        <v>696</v>
      </c>
    </row>
    <row r="14" ht="100.5" customHeight="1" spans="1:7">
      <c r="A14" s="67"/>
      <c r="B14" s="68" t="s">
        <v>1486</v>
      </c>
      <c r="C14" s="68" t="s">
        <v>1487</v>
      </c>
      <c r="D14" s="71">
        <v>0.5</v>
      </c>
      <c r="E14" s="71">
        <v>0.5</v>
      </c>
      <c r="F14" s="67" t="s">
        <v>1488</v>
      </c>
      <c r="G14" s="78" t="s">
        <v>696</v>
      </c>
    </row>
    <row r="15" ht="100.5" customHeight="1" spans="1:7">
      <c r="A15" s="67"/>
      <c r="B15" s="68" t="s">
        <v>1489</v>
      </c>
      <c r="C15" s="68" t="s">
        <v>1490</v>
      </c>
      <c r="D15" s="71">
        <v>1</v>
      </c>
      <c r="E15" s="71">
        <v>1.5</v>
      </c>
      <c r="F15" s="67" t="s">
        <v>1491</v>
      </c>
      <c r="G15" s="78" t="s">
        <v>696</v>
      </c>
    </row>
    <row r="16" ht="100.5" customHeight="1" spans="1:7">
      <c r="A16" s="67"/>
      <c r="B16" s="68" t="s">
        <v>1492</v>
      </c>
      <c r="C16" s="68" t="s">
        <v>1493</v>
      </c>
      <c r="D16" s="71">
        <v>0.5</v>
      </c>
      <c r="E16" s="71">
        <v>1</v>
      </c>
      <c r="F16" s="68" t="s">
        <v>1494</v>
      </c>
      <c r="G16" s="78" t="s">
        <v>696</v>
      </c>
    </row>
    <row r="17" s="66" customFormat="1" ht="100.5" customHeight="1" spans="1:8">
      <c r="A17" s="69"/>
      <c r="B17" s="70" t="s">
        <v>1495</v>
      </c>
      <c r="C17" s="70" t="s">
        <v>1496</v>
      </c>
      <c r="D17" s="69">
        <v>1</v>
      </c>
      <c r="E17" s="69">
        <v>1</v>
      </c>
      <c r="F17" s="70" t="s">
        <v>1497</v>
      </c>
      <c r="G17" s="70" t="s">
        <v>798</v>
      </c>
      <c r="H17" s="70" t="s">
        <v>799</v>
      </c>
    </row>
    <row r="18" s="66" customFormat="1" ht="100.5" customHeight="1" spans="1:8">
      <c r="A18" s="69"/>
      <c r="B18" s="70" t="s">
        <v>1498</v>
      </c>
      <c r="C18" s="70" t="s">
        <v>1499</v>
      </c>
      <c r="D18" s="69">
        <v>2</v>
      </c>
      <c r="E18" s="69">
        <v>1.5</v>
      </c>
      <c r="F18" s="70" t="s">
        <v>1500</v>
      </c>
      <c r="G18" s="70" t="s">
        <v>798</v>
      </c>
      <c r="H18" s="70" t="s">
        <v>799</v>
      </c>
    </row>
    <row r="19" ht="16.5" customHeight="1" spans="1:7">
      <c r="A19" s="49" t="s">
        <v>1501</v>
      </c>
      <c r="B19" s="49"/>
      <c r="C19" s="49"/>
      <c r="D19" s="49"/>
      <c r="E19" s="49"/>
      <c r="F19" s="49"/>
      <c r="G19" s="49"/>
    </row>
    <row r="20" ht="124.5" customHeight="1" spans="1:7">
      <c r="A20" s="67"/>
      <c r="B20" s="68" t="s">
        <v>1396</v>
      </c>
      <c r="C20" s="68" t="s">
        <v>1502</v>
      </c>
      <c r="D20" s="72">
        <v>1</v>
      </c>
      <c r="E20" s="72">
        <v>0.5</v>
      </c>
      <c r="F20" s="79" t="s">
        <v>1503</v>
      </c>
      <c r="G20" s="78" t="s">
        <v>696</v>
      </c>
    </row>
    <row r="21" ht="124.5" customHeight="1" spans="1:7">
      <c r="A21" s="67"/>
      <c r="B21" s="68" t="s">
        <v>1504</v>
      </c>
      <c r="C21" s="68" t="s">
        <v>1505</v>
      </c>
      <c r="D21" s="72">
        <v>1</v>
      </c>
      <c r="E21" s="72">
        <v>0.5</v>
      </c>
      <c r="F21" s="79" t="s">
        <v>1506</v>
      </c>
      <c r="G21" s="78" t="s">
        <v>696</v>
      </c>
    </row>
    <row r="22" ht="124.5" customHeight="1" spans="1:7">
      <c r="A22" s="67"/>
      <c r="B22" s="68" t="s">
        <v>1507</v>
      </c>
      <c r="C22" s="68" t="s">
        <v>1508</v>
      </c>
      <c r="D22" s="72">
        <v>0.5</v>
      </c>
      <c r="E22" s="72">
        <v>1.5</v>
      </c>
      <c r="F22" s="79" t="s">
        <v>1509</v>
      </c>
      <c r="G22" s="78" t="s">
        <v>696</v>
      </c>
    </row>
    <row r="23" ht="124.5" customHeight="1" spans="1:7">
      <c r="A23" s="67"/>
      <c r="B23" s="68" t="s">
        <v>1510</v>
      </c>
      <c r="C23" s="68" t="s">
        <v>1511</v>
      </c>
      <c r="D23" s="72">
        <v>0.5</v>
      </c>
      <c r="E23" s="72">
        <v>0.5</v>
      </c>
      <c r="F23" s="80" t="s">
        <v>1512</v>
      </c>
      <c r="G23" s="78" t="s">
        <v>696</v>
      </c>
    </row>
    <row r="24" ht="124.5" customHeight="1" spans="1:7">
      <c r="A24" s="67"/>
      <c r="B24" s="68" t="s">
        <v>1513</v>
      </c>
      <c r="C24" s="68" t="s">
        <v>1514</v>
      </c>
      <c r="D24" s="72">
        <v>0.5</v>
      </c>
      <c r="E24" s="72">
        <v>0.5</v>
      </c>
      <c r="F24" s="80" t="s">
        <v>1515</v>
      </c>
      <c r="G24" s="78" t="s">
        <v>696</v>
      </c>
    </row>
    <row r="25" ht="124.5" customHeight="1" spans="1:8">
      <c r="A25" s="67"/>
      <c r="B25" s="70" t="s">
        <v>1516</v>
      </c>
      <c r="C25" s="70" t="s">
        <v>1517</v>
      </c>
      <c r="D25" s="69">
        <v>0.5</v>
      </c>
      <c r="E25" s="69">
        <v>1</v>
      </c>
      <c r="F25" s="70" t="s">
        <v>1518</v>
      </c>
      <c r="G25" s="70" t="s">
        <v>798</v>
      </c>
      <c r="H25" s="70" t="s">
        <v>799</v>
      </c>
    </row>
    <row r="26" ht="124.5" customHeight="1" spans="1:8">
      <c r="A26" s="67"/>
      <c r="B26" s="70" t="s">
        <v>1519</v>
      </c>
      <c r="C26" s="70" t="s">
        <v>1520</v>
      </c>
      <c r="D26" s="69">
        <v>1.5</v>
      </c>
      <c r="E26" s="69">
        <v>1.5</v>
      </c>
      <c r="F26" s="70" t="s">
        <v>1521</v>
      </c>
      <c r="G26" s="70" t="s">
        <v>798</v>
      </c>
      <c r="H26" s="70" t="s">
        <v>799</v>
      </c>
    </row>
    <row r="27" ht="16.5" customHeight="1" spans="1:7">
      <c r="A27" s="49" t="s">
        <v>1522</v>
      </c>
      <c r="B27" s="49"/>
      <c r="C27" s="49"/>
      <c r="D27" s="49"/>
      <c r="E27" s="49"/>
      <c r="F27" s="49"/>
      <c r="G27" s="49"/>
    </row>
    <row r="28" ht="114.75" customHeight="1" spans="1:7">
      <c r="A28" s="67"/>
      <c r="B28" s="68" t="s">
        <v>1523</v>
      </c>
      <c r="C28" s="68" t="s">
        <v>1524</v>
      </c>
      <c r="D28" s="73">
        <v>1.5</v>
      </c>
      <c r="E28" s="73">
        <v>1</v>
      </c>
      <c r="F28" s="68" t="s">
        <v>1525</v>
      </c>
      <c r="G28" s="78" t="s">
        <v>696</v>
      </c>
    </row>
    <row r="29" ht="114.75" customHeight="1" spans="1:7">
      <c r="A29" s="67"/>
      <c r="B29" s="68" t="s">
        <v>1526</v>
      </c>
      <c r="C29" s="68" t="s">
        <v>1527</v>
      </c>
      <c r="D29" s="73">
        <v>1</v>
      </c>
      <c r="E29" s="73">
        <v>0.5</v>
      </c>
      <c r="F29" s="67" t="s">
        <v>1528</v>
      </c>
      <c r="G29" s="78" t="s">
        <v>696</v>
      </c>
    </row>
    <row r="30" ht="114.75" customHeight="1" spans="1:7">
      <c r="A30" s="67"/>
      <c r="B30" s="68" t="s">
        <v>1529</v>
      </c>
      <c r="C30" s="68" t="s">
        <v>1530</v>
      </c>
      <c r="D30" s="73">
        <v>1</v>
      </c>
      <c r="E30" s="73">
        <v>0.5</v>
      </c>
      <c r="F30" s="67" t="s">
        <v>1531</v>
      </c>
      <c r="G30" s="78" t="s">
        <v>696</v>
      </c>
    </row>
    <row r="31" ht="114.75" customHeight="1" spans="1:7">
      <c r="A31" s="67"/>
      <c r="B31" s="68" t="s">
        <v>1532</v>
      </c>
      <c r="C31" s="68" t="s">
        <v>1533</v>
      </c>
      <c r="D31" s="73">
        <v>0.5</v>
      </c>
      <c r="E31" s="73">
        <v>0</v>
      </c>
      <c r="F31" s="68" t="s">
        <v>1534</v>
      </c>
      <c r="G31" s="78" t="s">
        <v>696</v>
      </c>
    </row>
    <row r="32" ht="114.75" customHeight="1" spans="1:7">
      <c r="A32" s="67"/>
      <c r="B32" s="68" t="s">
        <v>1535</v>
      </c>
      <c r="C32" s="68" t="s">
        <v>1536</v>
      </c>
      <c r="D32" s="73">
        <v>1.5</v>
      </c>
      <c r="E32" s="73">
        <v>1.5</v>
      </c>
      <c r="F32" s="67" t="s">
        <v>1537</v>
      </c>
      <c r="G32" s="78" t="s">
        <v>696</v>
      </c>
    </row>
    <row r="33" ht="114.75" customHeight="1" spans="1:7">
      <c r="A33" s="67"/>
      <c r="B33" s="68" t="s">
        <v>1538</v>
      </c>
      <c r="C33" s="68" t="s">
        <v>1539</v>
      </c>
      <c r="D33" s="73">
        <v>1</v>
      </c>
      <c r="E33" s="73">
        <v>1</v>
      </c>
      <c r="F33" s="67" t="s">
        <v>1540</v>
      </c>
      <c r="G33" s="78" t="s">
        <v>696</v>
      </c>
    </row>
    <row r="34" ht="114.75" customHeight="1" spans="1:8">
      <c r="A34" s="69"/>
      <c r="B34" s="70" t="s">
        <v>1541</v>
      </c>
      <c r="C34" s="70" t="s">
        <v>1542</v>
      </c>
      <c r="D34" s="69">
        <v>1</v>
      </c>
      <c r="E34" s="69">
        <v>0.5</v>
      </c>
      <c r="F34" s="70" t="s">
        <v>1543</v>
      </c>
      <c r="G34" s="70" t="s">
        <v>798</v>
      </c>
      <c r="H34" s="70" t="s">
        <v>799</v>
      </c>
    </row>
    <row r="35" ht="114.75" customHeight="1" spans="1:8">
      <c r="A35" s="69"/>
      <c r="B35" s="70" t="s">
        <v>1544</v>
      </c>
      <c r="C35" s="70" t="s">
        <v>1545</v>
      </c>
      <c r="D35" s="69">
        <v>1</v>
      </c>
      <c r="E35" s="69">
        <v>0.5</v>
      </c>
      <c r="F35" s="70" t="s">
        <v>1546</v>
      </c>
      <c r="G35" s="70" t="s">
        <v>798</v>
      </c>
      <c r="H35" s="70" t="s">
        <v>799</v>
      </c>
    </row>
    <row r="36" ht="114.75" customHeight="1" spans="1:8">
      <c r="A36" s="69"/>
      <c r="B36" s="70" t="s">
        <v>1547</v>
      </c>
      <c r="C36" s="70" t="s">
        <v>1548</v>
      </c>
      <c r="D36" s="69"/>
      <c r="E36" s="69"/>
      <c r="F36" s="69"/>
      <c r="G36" s="69"/>
      <c r="H36" s="69"/>
    </row>
    <row r="37" ht="16.5" customHeight="1" spans="1:7">
      <c r="A37" s="49" t="s">
        <v>1549</v>
      </c>
      <c r="B37" s="49"/>
      <c r="C37" s="49"/>
      <c r="D37" s="49"/>
      <c r="E37" s="49"/>
      <c r="F37" s="49"/>
      <c r="G37" s="49"/>
    </row>
    <row r="38" ht="154.5" customHeight="1" spans="1:7">
      <c r="A38" s="67"/>
      <c r="B38" s="68" t="s">
        <v>1550</v>
      </c>
      <c r="C38" s="68" t="s">
        <v>1551</v>
      </c>
      <c r="D38" s="74">
        <v>1</v>
      </c>
      <c r="E38" s="74">
        <v>1</v>
      </c>
      <c r="F38" s="81" t="s">
        <v>1552</v>
      </c>
      <c r="G38" s="78" t="s">
        <v>696</v>
      </c>
    </row>
    <row r="39" ht="154.5" customHeight="1" spans="1:7">
      <c r="A39" s="67"/>
      <c r="B39" s="68" t="s">
        <v>1553</v>
      </c>
      <c r="C39" s="68" t="s">
        <v>1554</v>
      </c>
      <c r="D39" s="74">
        <v>1.5</v>
      </c>
      <c r="E39" s="74">
        <v>1</v>
      </c>
      <c r="F39" s="81" t="s">
        <v>1555</v>
      </c>
      <c r="G39" s="78" t="s">
        <v>696</v>
      </c>
    </row>
    <row r="40" ht="154.5" customHeight="1" spans="1:7">
      <c r="A40" s="67"/>
      <c r="B40" s="68" t="s">
        <v>1556</v>
      </c>
      <c r="C40" s="68" t="s">
        <v>1557</v>
      </c>
      <c r="D40" s="74">
        <v>2</v>
      </c>
      <c r="E40" s="74">
        <v>2</v>
      </c>
      <c r="F40" s="81" t="s">
        <v>1558</v>
      </c>
      <c r="G40" s="78" t="s">
        <v>696</v>
      </c>
    </row>
    <row r="41" ht="154.5" customHeight="1" spans="1:7">
      <c r="A41" s="67"/>
      <c r="B41" s="68" t="s">
        <v>1559</v>
      </c>
      <c r="C41" s="68" t="s">
        <v>1560</v>
      </c>
      <c r="D41" s="74">
        <v>1</v>
      </c>
      <c r="E41" s="74">
        <v>1</v>
      </c>
      <c r="F41" s="81" t="s">
        <v>1561</v>
      </c>
      <c r="G41" s="78" t="s">
        <v>696</v>
      </c>
    </row>
    <row r="42" ht="154.5" customHeight="1" spans="1:7">
      <c r="A42" s="67"/>
      <c r="B42" s="68" t="s">
        <v>1562</v>
      </c>
      <c r="C42" s="68" t="s">
        <v>1563</v>
      </c>
      <c r="D42" s="74">
        <v>0.5</v>
      </c>
      <c r="E42" s="74">
        <v>1</v>
      </c>
      <c r="F42" s="81">
        <v>1.5</v>
      </c>
      <c r="G42" s="78" t="s">
        <v>696</v>
      </c>
    </row>
    <row r="43" s="66" customFormat="1" ht="154.5" customHeight="1" spans="1:8">
      <c r="A43" s="69"/>
      <c r="B43" s="70" t="s">
        <v>1564</v>
      </c>
      <c r="C43" s="70" t="s">
        <v>1565</v>
      </c>
      <c r="D43" s="69">
        <v>1.5</v>
      </c>
      <c r="E43" s="69">
        <v>1</v>
      </c>
      <c r="F43" s="70" t="s">
        <v>1566</v>
      </c>
      <c r="G43" s="70" t="s">
        <v>798</v>
      </c>
      <c r="H43" s="70" t="s">
        <v>799</v>
      </c>
    </row>
    <row r="44" s="66" customFormat="1" ht="154.5" customHeight="1" spans="1:8">
      <c r="A44" s="69"/>
      <c r="B44" s="70" t="s">
        <v>1567</v>
      </c>
      <c r="C44" s="70" t="s">
        <v>1568</v>
      </c>
      <c r="D44" s="69">
        <v>2</v>
      </c>
      <c r="E44" s="69">
        <v>1.5</v>
      </c>
      <c r="F44" s="70" t="s">
        <v>1569</v>
      </c>
      <c r="G44" s="70" t="s">
        <v>798</v>
      </c>
      <c r="H44" s="70" t="s">
        <v>799</v>
      </c>
    </row>
    <row r="45" s="66" customFormat="1" ht="154.5" customHeight="1" spans="1:8">
      <c r="A45" s="69"/>
      <c r="B45" s="70" t="s">
        <v>1570</v>
      </c>
      <c r="C45" s="70" t="s">
        <v>1571</v>
      </c>
      <c r="D45" s="69">
        <v>2</v>
      </c>
      <c r="E45" s="69">
        <v>1.5</v>
      </c>
      <c r="F45" s="70" t="s">
        <v>1572</v>
      </c>
      <c r="G45" s="70" t="s">
        <v>798</v>
      </c>
      <c r="H45" s="70" t="s">
        <v>799</v>
      </c>
    </row>
    <row r="46" ht="16.5" customHeight="1" spans="1:8">
      <c r="A46" s="75" t="s">
        <v>431</v>
      </c>
      <c r="B46" s="76" t="s">
        <v>432</v>
      </c>
      <c r="C46" s="31"/>
      <c r="D46" s="77">
        <v>25.5</v>
      </c>
      <c r="E46" s="77">
        <v>24</v>
      </c>
      <c r="F46" s="77">
        <v>49.5</v>
      </c>
      <c r="G46" s="31"/>
      <c r="H46" s="31"/>
    </row>
  </sheetData>
  <pageMargins left="0.75" right="0.75" top="1" bottom="1" header="0.511811023622047" footer="0.511811023622047"/>
  <pageSetup paperSize="9" orientation="portrait"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
  <sheetViews>
    <sheetView workbookViewId="0">
      <pane ySplit="1" topLeftCell="A2" activePane="bottomLeft" state="frozen"/>
      <selection/>
      <selection pane="bottomLeft" activeCell="K5" sqref="K5"/>
    </sheetView>
  </sheetViews>
  <sheetFormatPr defaultColWidth="9" defaultRowHeight="16.8"/>
  <cols>
    <col min="1" max="1" width="14" customWidth="1"/>
    <col min="2" max="2" width="20" customWidth="1"/>
    <col min="3" max="3" width="82.6923076923077" customWidth="1"/>
    <col min="4" max="6" width="12" customWidth="1"/>
    <col min="7" max="7" width="28" customWidth="1"/>
    <col min="8" max="8" width="14" customWidth="1"/>
  </cols>
  <sheetData>
    <row r="1" ht="30" customHeight="1" spans="1:8">
      <c r="A1" s="32" t="s">
        <v>342</v>
      </c>
      <c r="B1" s="32" t="s">
        <v>343</v>
      </c>
      <c r="C1" s="32" t="s">
        <v>1573</v>
      </c>
      <c r="D1" s="32" t="s">
        <v>345</v>
      </c>
      <c r="E1" s="32" t="s">
        <v>346</v>
      </c>
      <c r="F1" s="32" t="s">
        <v>1574</v>
      </c>
      <c r="G1" s="32" t="s">
        <v>1575</v>
      </c>
      <c r="H1" s="32" t="s">
        <v>1576</v>
      </c>
    </row>
    <row r="2" ht="21.75" customHeight="1" spans="1:8">
      <c r="A2" s="43" t="s">
        <v>1577</v>
      </c>
      <c r="B2" s="44"/>
      <c r="C2" s="44"/>
      <c r="D2" s="44"/>
      <c r="E2" s="44"/>
      <c r="F2" s="44"/>
      <c r="G2" s="44"/>
      <c r="H2" s="58"/>
    </row>
    <row r="3" ht="54.75" customHeight="1" spans="1:8">
      <c r="A3" s="43"/>
      <c r="B3" s="45" t="s">
        <v>1578</v>
      </c>
      <c r="C3" s="46" t="s">
        <v>1579</v>
      </c>
      <c r="D3" s="47">
        <v>0.5</v>
      </c>
      <c r="E3" s="47">
        <v>0.5</v>
      </c>
      <c r="F3" s="59">
        <v>1</v>
      </c>
      <c r="G3" s="60" t="s">
        <v>1580</v>
      </c>
      <c r="H3" s="61" t="s">
        <v>1581</v>
      </c>
    </row>
    <row r="4" ht="54.75" customHeight="1" spans="1:8">
      <c r="A4" s="43"/>
      <c r="B4" s="48" t="s">
        <v>1582</v>
      </c>
      <c r="C4" s="34" t="s">
        <v>1583</v>
      </c>
      <c r="D4" s="47">
        <v>2</v>
      </c>
      <c r="E4" s="47">
        <v>1.5</v>
      </c>
      <c r="F4" s="47">
        <f t="shared" ref="F4:F9" si="0">D4+E4</f>
        <v>3.5</v>
      </c>
      <c r="G4" s="60" t="s">
        <v>1584</v>
      </c>
      <c r="H4" s="61" t="s">
        <v>1581</v>
      </c>
    </row>
    <row r="5" ht="54.75" customHeight="1" spans="1:13">
      <c r="A5" s="43"/>
      <c r="B5" s="48" t="s">
        <v>1585</v>
      </c>
      <c r="C5" s="35" t="s">
        <v>1586</v>
      </c>
      <c r="D5" s="47">
        <v>0.5</v>
      </c>
      <c r="E5" s="47">
        <v>2</v>
      </c>
      <c r="F5" s="47">
        <f t="shared" si="0"/>
        <v>2.5</v>
      </c>
      <c r="G5" s="62" t="s">
        <v>1587</v>
      </c>
      <c r="H5" s="61" t="s">
        <v>1588</v>
      </c>
      <c r="M5" s="65" t="s">
        <v>1589</v>
      </c>
    </row>
    <row r="6" ht="54.75" customHeight="1" spans="1:8">
      <c r="A6" s="43"/>
      <c r="B6" s="48" t="s">
        <v>1590</v>
      </c>
      <c r="C6" s="35" t="s">
        <v>1591</v>
      </c>
      <c r="D6" s="47">
        <v>1.5</v>
      </c>
      <c r="E6" s="47">
        <v>2</v>
      </c>
      <c r="F6" s="59">
        <f t="shared" si="0"/>
        <v>3.5</v>
      </c>
      <c r="G6" s="62" t="s">
        <v>1592</v>
      </c>
      <c r="H6" s="61" t="s">
        <v>1581</v>
      </c>
    </row>
    <row r="7" ht="54.75" customHeight="1" spans="1:8">
      <c r="A7" s="43"/>
      <c r="B7" s="48" t="s">
        <v>1593</v>
      </c>
      <c r="C7" s="35" t="s">
        <v>1594</v>
      </c>
      <c r="D7" s="47">
        <v>0</v>
      </c>
      <c r="E7" s="47">
        <v>2</v>
      </c>
      <c r="F7" s="59">
        <f t="shared" si="0"/>
        <v>2</v>
      </c>
      <c r="G7" s="62" t="s">
        <v>1595</v>
      </c>
      <c r="H7" s="61" t="s">
        <v>1588</v>
      </c>
    </row>
    <row r="8" ht="54.75" customHeight="1" spans="1:8">
      <c r="A8" s="43"/>
      <c r="B8" s="48" t="s">
        <v>1596</v>
      </c>
      <c r="C8" s="35" t="s">
        <v>1597</v>
      </c>
      <c r="D8" s="47">
        <v>1.5</v>
      </c>
      <c r="E8" s="47">
        <v>1</v>
      </c>
      <c r="F8" s="47">
        <f t="shared" si="0"/>
        <v>2.5</v>
      </c>
      <c r="G8" s="60" t="s">
        <v>1598</v>
      </c>
      <c r="H8" s="61" t="s">
        <v>1581</v>
      </c>
    </row>
    <row r="9" ht="54.75" customHeight="1" spans="1:8">
      <c r="A9" s="49"/>
      <c r="B9" s="50" t="s">
        <v>1599</v>
      </c>
      <c r="C9" s="51" t="s">
        <v>1600</v>
      </c>
      <c r="D9" s="33">
        <v>1</v>
      </c>
      <c r="E9" s="33">
        <v>1</v>
      </c>
      <c r="F9" s="33">
        <f t="shared" si="0"/>
        <v>2</v>
      </c>
      <c r="G9" s="63" t="s">
        <v>1601</v>
      </c>
      <c r="H9" s="61" t="s">
        <v>1581</v>
      </c>
    </row>
    <row r="10" ht="21.75" customHeight="1" spans="1:8">
      <c r="A10" s="52" t="s">
        <v>1261</v>
      </c>
      <c r="B10" s="53"/>
      <c r="C10" s="53"/>
      <c r="D10" s="54"/>
      <c r="E10" s="54"/>
      <c r="F10" s="54"/>
      <c r="G10" s="53"/>
      <c r="H10" s="58"/>
    </row>
    <row r="11" ht="54.75" customHeight="1" spans="1:8">
      <c r="A11" s="52"/>
      <c r="B11" s="48" t="s">
        <v>1602</v>
      </c>
      <c r="C11" s="34" t="s">
        <v>1603</v>
      </c>
      <c r="D11" s="47">
        <v>1</v>
      </c>
      <c r="E11" s="47">
        <v>1</v>
      </c>
      <c r="F11" s="47">
        <f>D11+E11</f>
        <v>2</v>
      </c>
      <c r="G11" s="62" t="s">
        <v>1604</v>
      </c>
      <c r="H11" s="61" t="s">
        <v>1581</v>
      </c>
    </row>
    <row r="12" ht="54.75" customHeight="1" spans="1:8">
      <c r="A12" s="52"/>
      <c r="B12" s="48" t="s">
        <v>1605</v>
      </c>
      <c r="C12" s="34" t="s">
        <v>1606</v>
      </c>
      <c r="D12" s="47">
        <v>2</v>
      </c>
      <c r="E12" s="47">
        <v>2</v>
      </c>
      <c r="F12" s="59">
        <f>D12+E12</f>
        <v>4</v>
      </c>
      <c r="G12" s="62" t="s">
        <v>1607</v>
      </c>
      <c r="H12" s="61" t="s">
        <v>1608</v>
      </c>
    </row>
    <row r="13" ht="54.75" customHeight="1" spans="1:8">
      <c r="A13" s="52"/>
      <c r="B13" s="48" t="s">
        <v>1609</v>
      </c>
      <c r="C13" s="35" t="s">
        <v>1610</v>
      </c>
      <c r="D13" s="47">
        <v>1.5</v>
      </c>
      <c r="E13" s="47">
        <v>1.5</v>
      </c>
      <c r="F13" s="59">
        <f>D13+E13</f>
        <v>3</v>
      </c>
      <c r="G13" s="62" t="s">
        <v>1611</v>
      </c>
      <c r="H13" s="61" t="s">
        <v>1608</v>
      </c>
    </row>
    <row r="14" ht="54.75" customHeight="1" spans="1:8">
      <c r="A14" s="52"/>
      <c r="B14" s="48" t="s">
        <v>1612</v>
      </c>
      <c r="C14" s="35" t="s">
        <v>1613</v>
      </c>
      <c r="D14" s="47">
        <v>1</v>
      </c>
      <c r="E14" s="47">
        <v>1</v>
      </c>
      <c r="F14" s="59">
        <f>D14+E14</f>
        <v>2</v>
      </c>
      <c r="G14" s="60" t="s">
        <v>1614</v>
      </c>
      <c r="H14" s="61" t="s">
        <v>1581</v>
      </c>
    </row>
    <row r="15" ht="54.75" customHeight="1" spans="1:8">
      <c r="A15" s="49"/>
      <c r="B15" s="50" t="s">
        <v>1615</v>
      </c>
      <c r="C15" s="51" t="s">
        <v>1616</v>
      </c>
      <c r="D15" s="33">
        <v>1.5</v>
      </c>
      <c r="E15" s="33">
        <v>1.5</v>
      </c>
      <c r="F15" s="33">
        <f>D15+E15</f>
        <v>3</v>
      </c>
      <c r="G15" s="64" t="s">
        <v>1617</v>
      </c>
      <c r="H15" s="61" t="s">
        <v>1608</v>
      </c>
    </row>
    <row r="16" ht="21.75" customHeight="1" spans="1:8">
      <c r="A16" s="52" t="s">
        <v>1618</v>
      </c>
      <c r="B16" s="53"/>
      <c r="C16" s="53"/>
      <c r="D16" s="54"/>
      <c r="E16" s="54"/>
      <c r="F16" s="54"/>
      <c r="G16" s="53"/>
      <c r="H16" s="58"/>
    </row>
    <row r="17" ht="54.75" customHeight="1" spans="1:8">
      <c r="A17" s="52"/>
      <c r="B17" s="48" t="s">
        <v>1619</v>
      </c>
      <c r="C17" s="35" t="s">
        <v>1620</v>
      </c>
      <c r="D17" s="47">
        <v>1.5</v>
      </c>
      <c r="E17" s="47">
        <v>1</v>
      </c>
      <c r="F17" s="47">
        <f>D17+E17</f>
        <v>2.5</v>
      </c>
      <c r="G17" s="62" t="s">
        <v>1621</v>
      </c>
      <c r="H17" s="61" t="s">
        <v>1608</v>
      </c>
    </row>
    <row r="18" ht="54.75" customHeight="1" spans="1:8">
      <c r="A18" s="52"/>
      <c r="B18" s="48" t="s">
        <v>1622</v>
      </c>
      <c r="C18" s="35" t="s">
        <v>1623</v>
      </c>
      <c r="D18" s="47">
        <v>0</v>
      </c>
      <c r="E18" s="47">
        <v>2</v>
      </c>
      <c r="F18" s="59">
        <f>D18+E18</f>
        <v>2</v>
      </c>
      <c r="G18" s="60" t="s">
        <v>1624</v>
      </c>
      <c r="H18" s="61" t="s">
        <v>1625</v>
      </c>
    </row>
    <row r="19" ht="54.75" customHeight="1" spans="1:8">
      <c r="A19" s="52"/>
      <c r="B19" s="48" t="s">
        <v>1626</v>
      </c>
      <c r="C19" s="34" t="s">
        <v>1627</v>
      </c>
      <c r="D19" s="47">
        <v>1.5</v>
      </c>
      <c r="E19" s="47">
        <v>2</v>
      </c>
      <c r="F19" s="47">
        <f>D19+E19</f>
        <v>3.5</v>
      </c>
      <c r="G19" s="62" t="s">
        <v>1628</v>
      </c>
      <c r="H19" s="61" t="s">
        <v>1608</v>
      </c>
    </row>
    <row r="20" ht="54.75" customHeight="1" spans="1:8">
      <c r="A20" s="49"/>
      <c r="B20" s="50" t="s">
        <v>1629</v>
      </c>
      <c r="C20" s="51" t="s">
        <v>1630</v>
      </c>
      <c r="D20" s="33">
        <v>1</v>
      </c>
      <c r="E20" s="33">
        <v>1</v>
      </c>
      <c r="F20" s="33">
        <f>D20+E20</f>
        <v>2</v>
      </c>
      <c r="G20" s="64" t="s">
        <v>1631</v>
      </c>
      <c r="H20" s="61" t="s">
        <v>1632</v>
      </c>
    </row>
    <row r="21" ht="21.75" customHeight="1" spans="1:8">
      <c r="A21" s="52" t="s">
        <v>1633</v>
      </c>
      <c r="B21" s="53"/>
      <c r="C21" s="53"/>
      <c r="D21" s="54"/>
      <c r="E21" s="54"/>
      <c r="F21" s="53"/>
      <c r="G21" s="53"/>
      <c r="H21" s="58"/>
    </row>
    <row r="22" ht="54.75" customHeight="1" spans="1:8">
      <c r="A22" s="52"/>
      <c r="B22" s="48" t="s">
        <v>1634</v>
      </c>
      <c r="C22" s="35" t="s">
        <v>1635</v>
      </c>
      <c r="D22" s="47">
        <v>1.5</v>
      </c>
      <c r="E22" s="47">
        <v>1.5</v>
      </c>
      <c r="F22" s="59">
        <f>D22+E22</f>
        <v>3</v>
      </c>
      <c r="G22" s="60" t="s">
        <v>1636</v>
      </c>
      <c r="H22" s="61" t="s">
        <v>1581</v>
      </c>
    </row>
    <row r="23" ht="54.75" customHeight="1" spans="1:8">
      <c r="A23" s="52"/>
      <c r="B23" s="48" t="s">
        <v>1637</v>
      </c>
      <c r="C23" s="35" t="s">
        <v>1638</v>
      </c>
      <c r="D23" s="47">
        <v>0</v>
      </c>
      <c r="E23" s="47">
        <v>2</v>
      </c>
      <c r="F23" s="59">
        <f>D23+E23</f>
        <v>2</v>
      </c>
      <c r="G23" s="62" t="s">
        <v>1639</v>
      </c>
      <c r="H23" s="61" t="s">
        <v>1588</v>
      </c>
    </row>
    <row r="24" ht="54.75" customHeight="1" spans="1:8">
      <c r="A24" s="52"/>
      <c r="B24" s="48" t="s">
        <v>1640</v>
      </c>
      <c r="C24" s="34" t="s">
        <v>1641</v>
      </c>
      <c r="D24" s="47">
        <v>1.5</v>
      </c>
      <c r="E24" s="47">
        <v>1.5</v>
      </c>
      <c r="F24" s="47">
        <f>D24+E24</f>
        <v>3</v>
      </c>
      <c r="G24" s="60" t="s">
        <v>1642</v>
      </c>
      <c r="H24" s="61" t="s">
        <v>1581</v>
      </c>
    </row>
    <row r="25" ht="54.75" customHeight="1" spans="1:8">
      <c r="A25" s="55"/>
      <c r="B25" s="56" t="s">
        <v>1643</v>
      </c>
      <c r="C25" s="35" t="s">
        <v>1644</v>
      </c>
      <c r="D25" s="47">
        <v>1</v>
      </c>
      <c r="E25" s="47">
        <v>1.5</v>
      </c>
      <c r="F25" s="47">
        <f>D25+E25</f>
        <v>2.5</v>
      </c>
      <c r="G25" s="60" t="s">
        <v>1645</v>
      </c>
      <c r="H25" s="61" t="s">
        <v>1581</v>
      </c>
    </row>
    <row r="26" ht="21.75" customHeight="1" spans="1:8">
      <c r="A26" s="57" t="s">
        <v>431</v>
      </c>
      <c r="B26" s="57" t="s">
        <v>432</v>
      </c>
      <c r="C26" s="57"/>
      <c r="D26" s="57">
        <f>SUM(D2:D25)</f>
        <v>22</v>
      </c>
      <c r="E26" s="57">
        <f>SUM(E2:E25)</f>
        <v>29.5</v>
      </c>
      <c r="F26" s="57">
        <f>SUM(F2:F25)</f>
        <v>51.5</v>
      </c>
      <c r="G26" s="57"/>
      <c r="H26" s="57"/>
    </row>
  </sheetData>
  <mergeCells count="4">
    <mergeCell ref="A2:A8"/>
    <mergeCell ref="A10:A14"/>
    <mergeCell ref="A16:A19"/>
    <mergeCell ref="A21:A24"/>
  </mergeCells>
  <pageMargins left="0.75" right="0.75" top="1" bottom="1" header="0.511811023622047" footer="0.511811023622047"/>
  <pageSetup paperSize="9"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E39" sqref="E39"/>
    </sheetView>
  </sheetViews>
  <sheetFormatPr defaultColWidth="9" defaultRowHeight="16.8" outlineLevelCol="7"/>
  <cols>
    <col min="1" max="1" width="14" customWidth="1"/>
    <col min="2" max="2" width="18" customWidth="1"/>
    <col min="3" max="3" width="97.5769230769231" customWidth="1"/>
    <col min="4" max="5" width="12" customWidth="1"/>
    <col min="6" max="6" width="28" customWidth="1"/>
    <col min="7" max="7" width="14" customWidth="1"/>
  </cols>
  <sheetData>
    <row r="1" ht="33.75" customHeight="1" spans="1:7">
      <c r="A1" s="32" t="s">
        <v>342</v>
      </c>
      <c r="B1" s="32" t="s">
        <v>343</v>
      </c>
      <c r="C1" s="32" t="s">
        <v>344</v>
      </c>
      <c r="D1" s="32" t="s">
        <v>345</v>
      </c>
      <c r="E1" s="32" t="s">
        <v>346</v>
      </c>
      <c r="F1" s="32" t="s">
        <v>1574</v>
      </c>
      <c r="G1" s="32" t="s">
        <v>348</v>
      </c>
    </row>
    <row r="2" ht="18" customHeight="1" spans="1:7">
      <c r="A2" s="33" t="s">
        <v>1646</v>
      </c>
      <c r="B2" s="33"/>
      <c r="C2" s="33"/>
      <c r="D2" s="33"/>
      <c r="E2" s="33"/>
      <c r="F2" s="33"/>
      <c r="G2" s="33"/>
    </row>
    <row r="3" ht="42" customHeight="1" spans="1:7">
      <c r="A3" s="34"/>
      <c r="B3" s="35" t="s">
        <v>1647</v>
      </c>
      <c r="C3" s="35" t="s">
        <v>1648</v>
      </c>
      <c r="D3" s="36">
        <v>0.5</v>
      </c>
      <c r="E3" s="36">
        <v>0.5</v>
      </c>
      <c r="F3" s="36">
        <f t="shared" ref="F3:F10" si="0">D3+E3</f>
        <v>1</v>
      </c>
      <c r="G3" s="35" t="s">
        <v>696</v>
      </c>
    </row>
    <row r="4" ht="42" customHeight="1" spans="1:7">
      <c r="A4" s="34"/>
      <c r="B4" s="35" t="s">
        <v>1649</v>
      </c>
      <c r="C4" s="34" t="s">
        <v>1650</v>
      </c>
      <c r="D4" s="36">
        <v>1.5</v>
      </c>
      <c r="E4" s="36">
        <v>1.5</v>
      </c>
      <c r="F4" s="36">
        <f t="shared" si="0"/>
        <v>3</v>
      </c>
      <c r="G4" s="35" t="s">
        <v>696</v>
      </c>
    </row>
    <row r="5" ht="42" customHeight="1" spans="1:7">
      <c r="A5" s="34"/>
      <c r="B5" s="35" t="s">
        <v>1651</v>
      </c>
      <c r="C5" s="35" t="s">
        <v>1652</v>
      </c>
      <c r="D5" s="36">
        <v>2</v>
      </c>
      <c r="E5" s="36">
        <v>2</v>
      </c>
      <c r="F5" s="36">
        <f t="shared" si="0"/>
        <v>4</v>
      </c>
      <c r="G5" s="35" t="s">
        <v>696</v>
      </c>
    </row>
    <row r="6" ht="42" customHeight="1" spans="1:7">
      <c r="A6" s="34"/>
      <c r="B6" s="35" t="s">
        <v>1653</v>
      </c>
      <c r="C6" s="35" t="s">
        <v>1654</v>
      </c>
      <c r="D6" s="36">
        <v>1</v>
      </c>
      <c r="E6" s="36">
        <v>2</v>
      </c>
      <c r="F6" s="36">
        <f t="shared" si="0"/>
        <v>3</v>
      </c>
      <c r="G6" s="35" t="s">
        <v>696</v>
      </c>
    </row>
    <row r="7" ht="42" customHeight="1" spans="1:7">
      <c r="A7" s="34"/>
      <c r="B7" s="35" t="s">
        <v>1655</v>
      </c>
      <c r="C7" s="35" t="s">
        <v>1656</v>
      </c>
      <c r="D7" s="36">
        <v>1</v>
      </c>
      <c r="E7" s="36">
        <v>0.5</v>
      </c>
      <c r="F7" s="36">
        <f t="shared" si="0"/>
        <v>1.5</v>
      </c>
      <c r="G7" s="35" t="s">
        <v>696</v>
      </c>
    </row>
    <row r="8" ht="42" customHeight="1" spans="1:7">
      <c r="A8" s="34"/>
      <c r="B8" s="35" t="s">
        <v>1657</v>
      </c>
      <c r="C8" s="35" t="s">
        <v>1658</v>
      </c>
      <c r="D8" s="36">
        <v>0.5</v>
      </c>
      <c r="E8" s="36">
        <v>0.5</v>
      </c>
      <c r="F8" s="36">
        <f t="shared" si="0"/>
        <v>1</v>
      </c>
      <c r="G8" s="35" t="s">
        <v>696</v>
      </c>
    </row>
    <row r="9" ht="42" customHeight="1" spans="1:7">
      <c r="A9" s="34"/>
      <c r="B9" s="35" t="s">
        <v>1659</v>
      </c>
      <c r="C9" s="35" t="s">
        <v>1660</v>
      </c>
      <c r="D9" s="36">
        <v>1</v>
      </c>
      <c r="E9" s="36">
        <v>1.5</v>
      </c>
      <c r="F9" s="36">
        <f t="shared" si="0"/>
        <v>2.5</v>
      </c>
      <c r="G9" s="35" t="s">
        <v>696</v>
      </c>
    </row>
    <row r="10" ht="42" customHeight="1" spans="1:7">
      <c r="A10" s="34"/>
      <c r="B10" s="35" t="s">
        <v>1661</v>
      </c>
      <c r="C10" s="35" t="s">
        <v>1662</v>
      </c>
      <c r="D10" s="36">
        <v>1</v>
      </c>
      <c r="E10" s="36">
        <v>0.5</v>
      </c>
      <c r="F10" s="36">
        <f t="shared" si="0"/>
        <v>1.5</v>
      </c>
      <c r="G10" s="35" t="s">
        <v>696</v>
      </c>
    </row>
    <row r="11" ht="18" customHeight="1" spans="1:7">
      <c r="A11" s="37" t="s">
        <v>1663</v>
      </c>
      <c r="B11" s="33"/>
      <c r="C11" s="33"/>
      <c r="D11" s="33"/>
      <c r="E11" s="33"/>
      <c r="F11" s="33"/>
      <c r="G11" s="33"/>
    </row>
    <row r="12" ht="42" customHeight="1" spans="1:7">
      <c r="A12" s="34"/>
      <c r="B12" s="34" t="s">
        <v>1664</v>
      </c>
      <c r="C12" s="34" t="s">
        <v>1665</v>
      </c>
      <c r="D12" s="36">
        <v>0</v>
      </c>
      <c r="E12" s="36">
        <v>1</v>
      </c>
      <c r="F12" s="36">
        <f t="shared" ref="F12:F17" si="1">D12+E12</f>
        <v>1</v>
      </c>
      <c r="G12" s="35" t="s">
        <v>962</v>
      </c>
    </row>
    <row r="13" ht="42" customHeight="1" spans="1:7">
      <c r="A13" s="34"/>
      <c r="B13" s="35" t="s">
        <v>1666</v>
      </c>
      <c r="C13" s="35" t="s">
        <v>1667</v>
      </c>
      <c r="D13" s="36">
        <v>0</v>
      </c>
      <c r="E13" s="36">
        <v>1.5</v>
      </c>
      <c r="F13" s="36">
        <f t="shared" si="1"/>
        <v>1.5</v>
      </c>
      <c r="G13" s="35" t="s">
        <v>962</v>
      </c>
    </row>
    <row r="14" ht="42" customHeight="1" spans="1:7">
      <c r="A14" s="34"/>
      <c r="B14" s="35" t="s">
        <v>1668</v>
      </c>
      <c r="C14" s="35" t="s">
        <v>1669</v>
      </c>
      <c r="D14" s="36">
        <v>0.5</v>
      </c>
      <c r="E14" s="36">
        <v>1.5</v>
      </c>
      <c r="F14" s="36">
        <f t="shared" si="1"/>
        <v>2</v>
      </c>
      <c r="G14" s="35" t="s">
        <v>696</v>
      </c>
    </row>
    <row r="15" ht="42" customHeight="1" spans="1:7">
      <c r="A15" s="34"/>
      <c r="B15" s="35" t="s">
        <v>1174</v>
      </c>
      <c r="C15" s="35" t="s">
        <v>1670</v>
      </c>
      <c r="D15" s="36">
        <v>0.5</v>
      </c>
      <c r="E15" s="36">
        <v>1.5</v>
      </c>
      <c r="F15" s="36">
        <f t="shared" si="1"/>
        <v>2</v>
      </c>
      <c r="G15" s="35" t="s">
        <v>696</v>
      </c>
    </row>
    <row r="16" ht="42" customHeight="1" spans="1:7">
      <c r="A16" s="34"/>
      <c r="B16" s="35" t="s">
        <v>1671</v>
      </c>
      <c r="C16" s="35" t="s">
        <v>1672</v>
      </c>
      <c r="D16" s="36">
        <v>0.5</v>
      </c>
      <c r="E16" s="36">
        <v>1</v>
      </c>
      <c r="F16" s="36">
        <f t="shared" si="1"/>
        <v>1.5</v>
      </c>
      <c r="G16" s="35" t="s">
        <v>696</v>
      </c>
    </row>
    <row r="17" ht="42" customHeight="1" spans="1:7">
      <c r="A17" s="34"/>
      <c r="B17" s="35" t="s">
        <v>1673</v>
      </c>
      <c r="C17" s="35" t="s">
        <v>1674</v>
      </c>
      <c r="D17" s="36">
        <v>1</v>
      </c>
      <c r="E17" s="36">
        <v>1</v>
      </c>
      <c r="F17" s="36">
        <f t="shared" si="1"/>
        <v>2</v>
      </c>
      <c r="G17" s="35" t="s">
        <v>696</v>
      </c>
    </row>
    <row r="18" ht="18" customHeight="1" spans="1:7">
      <c r="A18" s="33" t="s">
        <v>1675</v>
      </c>
      <c r="B18" s="33"/>
      <c r="C18" s="33"/>
      <c r="D18" s="33"/>
      <c r="E18" s="33"/>
      <c r="F18" s="33"/>
      <c r="G18" s="33"/>
    </row>
    <row r="19" ht="42" customHeight="1" spans="1:7">
      <c r="A19" s="34"/>
      <c r="B19" s="35" t="s">
        <v>1676</v>
      </c>
      <c r="C19" s="34" t="s">
        <v>1677</v>
      </c>
      <c r="D19" s="36">
        <v>1.5</v>
      </c>
      <c r="E19" s="36">
        <v>1.5</v>
      </c>
      <c r="F19" s="36">
        <f>D19+E19</f>
        <v>3</v>
      </c>
      <c r="G19" s="35" t="s">
        <v>696</v>
      </c>
    </row>
    <row r="20" ht="42" customHeight="1" spans="1:7">
      <c r="A20" s="34"/>
      <c r="B20" s="35" t="s">
        <v>1678</v>
      </c>
      <c r="C20" s="35" t="s">
        <v>1679</v>
      </c>
      <c r="D20" s="36">
        <v>0</v>
      </c>
      <c r="E20" s="36">
        <v>0.5</v>
      </c>
      <c r="F20" s="36">
        <f>D20+E20</f>
        <v>0.5</v>
      </c>
      <c r="G20" s="35" t="s">
        <v>962</v>
      </c>
    </row>
    <row r="21" ht="42" customHeight="1" spans="1:8">
      <c r="A21" s="38"/>
      <c r="B21" s="39" t="s">
        <v>1680</v>
      </c>
      <c r="C21" s="38" t="s">
        <v>1681</v>
      </c>
      <c r="D21" s="40">
        <v>1.5</v>
      </c>
      <c r="E21" s="40">
        <v>1</v>
      </c>
      <c r="F21" s="40">
        <f>D21+E21</f>
        <v>2.5</v>
      </c>
      <c r="G21" s="39" t="s">
        <v>696</v>
      </c>
      <c r="H21" s="31"/>
    </row>
    <row r="22" ht="42" customHeight="1" spans="1:7">
      <c r="A22" s="34"/>
      <c r="B22" s="35" t="s">
        <v>1682</v>
      </c>
      <c r="C22" s="35" t="s">
        <v>1683</v>
      </c>
      <c r="D22" s="36">
        <v>0.5</v>
      </c>
      <c r="E22" s="36">
        <v>2</v>
      </c>
      <c r="F22" s="36">
        <f>D22+E22</f>
        <v>2.5</v>
      </c>
      <c r="G22" s="35" t="s">
        <v>696</v>
      </c>
    </row>
    <row r="23" ht="42" customHeight="1" spans="1:7">
      <c r="A23" s="34"/>
      <c r="B23" s="35" t="s">
        <v>1684</v>
      </c>
      <c r="C23" s="34" t="s">
        <v>1685</v>
      </c>
      <c r="D23" s="36">
        <v>1.5</v>
      </c>
      <c r="E23" s="36">
        <v>1</v>
      </c>
      <c r="F23" s="36">
        <f>D23+E23</f>
        <v>2.5</v>
      </c>
      <c r="G23" s="35" t="s">
        <v>696</v>
      </c>
    </row>
    <row r="25" ht="21.75" customHeight="1" spans="1:7">
      <c r="A25" s="41" t="s">
        <v>431</v>
      </c>
      <c r="B25" s="41" t="s">
        <v>432</v>
      </c>
      <c r="C25" s="41"/>
      <c r="D25" s="42">
        <f>SUM(D2:D24)</f>
        <v>16</v>
      </c>
      <c r="E25" s="42">
        <f>SUM(E2:E24)</f>
        <v>22.5</v>
      </c>
      <c r="F25" s="42">
        <f>D25+E25</f>
        <v>38.5</v>
      </c>
      <c r="G25" s="41"/>
    </row>
  </sheetData>
  <pageMargins left="0.75" right="0.75" top="1" bottom="1" header="0.511811023622047" footer="0.511811023622047"/>
  <pageSetup paperSize="9" orientation="portrait" horizontalDpi="300"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selection activeCell="F45" sqref="F45"/>
    </sheetView>
  </sheetViews>
  <sheetFormatPr defaultColWidth="9" defaultRowHeight="16.8" outlineLevelCol="7"/>
  <cols>
    <col min="1" max="1" width="12" customWidth="1"/>
    <col min="2" max="2" width="14" customWidth="1"/>
    <col min="3" max="3" width="112.019230769231" customWidth="1"/>
    <col min="4" max="5" width="12" customWidth="1"/>
    <col min="6" max="6" width="35" customWidth="1"/>
    <col min="7" max="7" width="15" customWidth="1"/>
  </cols>
  <sheetData>
    <row r="1" ht="33.75" customHeight="1" spans="1:7">
      <c r="A1" s="23" t="s">
        <v>342</v>
      </c>
      <c r="B1" s="23" t="s">
        <v>343</v>
      </c>
      <c r="C1" s="23" t="s">
        <v>344</v>
      </c>
      <c r="D1" s="23" t="s">
        <v>345</v>
      </c>
      <c r="E1" s="23" t="s">
        <v>346</v>
      </c>
      <c r="F1" s="23" t="s">
        <v>347</v>
      </c>
      <c r="G1" s="23" t="s">
        <v>348</v>
      </c>
    </row>
    <row r="2" ht="79.5" customHeight="1" spans="1:7">
      <c r="A2" s="24" t="s">
        <v>1686</v>
      </c>
      <c r="B2" s="24"/>
      <c r="C2" s="24"/>
      <c r="D2" s="24"/>
      <c r="E2" s="24"/>
      <c r="F2" s="24"/>
      <c r="G2" s="24"/>
    </row>
    <row r="3" ht="79.5" customHeight="1" spans="1:7">
      <c r="A3" s="25"/>
      <c r="B3" s="26" t="s">
        <v>1687</v>
      </c>
      <c r="C3" s="25" t="s">
        <v>1688</v>
      </c>
      <c r="D3" s="26">
        <v>2.5</v>
      </c>
      <c r="E3" s="26">
        <v>3</v>
      </c>
      <c r="F3" s="25" t="s">
        <v>1689</v>
      </c>
      <c r="G3" s="26" t="s">
        <v>696</v>
      </c>
    </row>
    <row r="4" ht="79.5" customHeight="1" spans="1:7">
      <c r="A4" s="26"/>
      <c r="B4" s="26" t="s">
        <v>1690</v>
      </c>
      <c r="C4" s="26" t="s">
        <v>1691</v>
      </c>
      <c r="D4" s="26">
        <v>0.5</v>
      </c>
      <c r="E4" s="26">
        <v>4</v>
      </c>
      <c r="F4" s="25" t="s">
        <v>1692</v>
      </c>
      <c r="G4" s="26" t="s">
        <v>696</v>
      </c>
    </row>
    <row r="5" ht="79.5" customHeight="1" spans="1:7">
      <c r="A5" s="26"/>
      <c r="B5" s="26" t="s">
        <v>1693</v>
      </c>
      <c r="C5" s="26" t="s">
        <v>1694</v>
      </c>
      <c r="D5" s="26">
        <v>2</v>
      </c>
      <c r="E5" s="26">
        <v>2</v>
      </c>
      <c r="F5" s="26" t="s">
        <v>1695</v>
      </c>
      <c r="G5" s="26" t="s">
        <v>696</v>
      </c>
    </row>
    <row r="6" ht="79.5" customHeight="1" spans="1:7">
      <c r="A6" s="26"/>
      <c r="B6" s="26" t="s">
        <v>1696</v>
      </c>
      <c r="C6" s="26" t="s">
        <v>1697</v>
      </c>
      <c r="D6" s="26">
        <v>2.5</v>
      </c>
      <c r="E6" s="26">
        <v>2</v>
      </c>
      <c r="F6" s="25" t="s">
        <v>1698</v>
      </c>
      <c r="G6" s="26" t="s">
        <v>696</v>
      </c>
    </row>
    <row r="7" ht="79.5" customHeight="1" spans="1:7">
      <c r="A7" s="26"/>
      <c r="B7" s="26" t="s">
        <v>993</v>
      </c>
      <c r="C7" s="26" t="s">
        <v>1699</v>
      </c>
      <c r="D7" s="26">
        <v>2</v>
      </c>
      <c r="E7" s="26">
        <v>2</v>
      </c>
      <c r="F7" s="25" t="s">
        <v>1700</v>
      </c>
      <c r="G7" s="26" t="s">
        <v>696</v>
      </c>
    </row>
    <row r="8" ht="79.5" customHeight="1" spans="1:7">
      <c r="A8" s="24" t="s">
        <v>1701</v>
      </c>
      <c r="B8" s="24"/>
      <c r="C8" s="24"/>
      <c r="D8" s="24"/>
      <c r="E8" s="24"/>
      <c r="F8" s="24"/>
      <c r="G8" s="24"/>
    </row>
    <row r="9" ht="79.5" customHeight="1" spans="1:7">
      <c r="A9" s="26"/>
      <c r="B9" s="26" t="s">
        <v>973</v>
      </c>
      <c r="C9" s="26" t="s">
        <v>1702</v>
      </c>
      <c r="D9" s="26">
        <v>1</v>
      </c>
      <c r="E9" s="26">
        <v>3</v>
      </c>
      <c r="F9" s="25" t="s">
        <v>1703</v>
      </c>
      <c r="G9" s="26" t="s">
        <v>696</v>
      </c>
    </row>
    <row r="10" ht="79.5" customHeight="1" spans="1:7">
      <c r="A10" s="26"/>
      <c r="B10" s="26" t="s">
        <v>976</v>
      </c>
      <c r="C10" s="26" t="s">
        <v>1704</v>
      </c>
      <c r="D10" s="26">
        <v>2.5</v>
      </c>
      <c r="E10" s="26">
        <v>3</v>
      </c>
      <c r="F10" s="25" t="s">
        <v>1705</v>
      </c>
      <c r="G10" s="26" t="s">
        <v>696</v>
      </c>
    </row>
    <row r="11" ht="79.5" customHeight="1" spans="1:7">
      <c r="A11" s="26"/>
      <c r="B11" s="26" t="s">
        <v>1706</v>
      </c>
      <c r="C11" s="26" t="s">
        <v>1707</v>
      </c>
      <c r="D11" s="26">
        <v>2.5</v>
      </c>
      <c r="E11" s="26">
        <v>3</v>
      </c>
      <c r="F11" s="26" t="s">
        <v>1708</v>
      </c>
      <c r="G11" s="26" t="s">
        <v>696</v>
      </c>
    </row>
    <row r="12" ht="79.5" customHeight="1" spans="1:7">
      <c r="A12" s="26"/>
      <c r="B12" s="26" t="s">
        <v>1709</v>
      </c>
      <c r="C12" s="26" t="s">
        <v>1710</v>
      </c>
      <c r="D12" s="26">
        <v>2</v>
      </c>
      <c r="E12" s="26">
        <v>3</v>
      </c>
      <c r="F12" s="26" t="s">
        <v>1711</v>
      </c>
      <c r="G12" s="26" t="s">
        <v>696</v>
      </c>
    </row>
    <row r="13" ht="79.5" customHeight="1" spans="1:7">
      <c r="A13" s="24" t="s">
        <v>1712</v>
      </c>
      <c r="B13" s="24"/>
      <c r="C13" s="24"/>
      <c r="D13" s="24"/>
      <c r="E13" s="24"/>
      <c r="F13" s="24"/>
      <c r="G13" s="24"/>
    </row>
    <row r="14" ht="79.5" customHeight="1" spans="1:7">
      <c r="A14" s="26"/>
      <c r="B14" s="26" t="s">
        <v>1713</v>
      </c>
      <c r="C14" s="26" t="s">
        <v>1714</v>
      </c>
      <c r="D14" s="26">
        <v>1</v>
      </c>
      <c r="E14" s="26">
        <v>2.5</v>
      </c>
      <c r="F14" s="26" t="s">
        <v>1715</v>
      </c>
      <c r="G14" s="26" t="s">
        <v>696</v>
      </c>
    </row>
    <row r="15" ht="79.5" customHeight="1" spans="1:7">
      <c r="A15" s="26"/>
      <c r="B15" s="26" t="s">
        <v>1716</v>
      </c>
      <c r="C15" s="26" t="s">
        <v>1717</v>
      </c>
      <c r="D15" s="26">
        <v>1.5</v>
      </c>
      <c r="E15" s="26">
        <v>2</v>
      </c>
      <c r="F15" s="25" t="s">
        <v>1718</v>
      </c>
      <c r="G15" s="26" t="s">
        <v>696</v>
      </c>
    </row>
    <row r="16" ht="79.5" customHeight="1" spans="1:7">
      <c r="A16" s="26"/>
      <c r="B16" s="26" t="s">
        <v>1719</v>
      </c>
      <c r="C16" s="25" t="s">
        <v>1720</v>
      </c>
      <c r="D16" s="26">
        <v>1</v>
      </c>
      <c r="E16" s="26">
        <v>1.5</v>
      </c>
      <c r="F16" s="25" t="s">
        <v>1721</v>
      </c>
      <c r="G16" s="26" t="s">
        <v>696</v>
      </c>
    </row>
    <row r="17" ht="79.5" customHeight="1" spans="1:7">
      <c r="A17" s="27" t="s">
        <v>1722</v>
      </c>
      <c r="B17" s="24"/>
      <c r="C17" s="24"/>
      <c r="D17" s="24"/>
      <c r="E17" s="24"/>
      <c r="F17" s="24"/>
      <c r="G17" s="24"/>
    </row>
    <row r="18" ht="79.5" customHeight="1" spans="1:7">
      <c r="A18" s="26"/>
      <c r="B18" s="26" t="s">
        <v>1723</v>
      </c>
      <c r="C18" s="26" t="s">
        <v>1724</v>
      </c>
      <c r="D18" s="26">
        <v>3</v>
      </c>
      <c r="E18" s="26">
        <v>2.5</v>
      </c>
      <c r="F18" s="25" t="s">
        <v>1725</v>
      </c>
      <c r="G18" s="26" t="s">
        <v>696</v>
      </c>
    </row>
    <row r="19" ht="79.5" customHeight="1" spans="1:7">
      <c r="A19" s="26"/>
      <c r="B19" s="26" t="s">
        <v>1726</v>
      </c>
      <c r="C19" s="26" t="s">
        <v>1727</v>
      </c>
      <c r="D19" s="26">
        <v>2.5</v>
      </c>
      <c r="E19" s="26">
        <v>2</v>
      </c>
      <c r="F19" s="26" t="s">
        <v>1728</v>
      </c>
      <c r="G19" s="26" t="s">
        <v>696</v>
      </c>
    </row>
    <row r="20" ht="79.5" customHeight="1" spans="1:7">
      <c r="A20" s="26"/>
      <c r="B20" s="26" t="s">
        <v>1729</v>
      </c>
      <c r="C20" s="26" t="s">
        <v>1730</v>
      </c>
      <c r="D20" s="26">
        <v>2.5</v>
      </c>
      <c r="E20" s="26">
        <v>2</v>
      </c>
      <c r="F20" s="25" t="s">
        <v>1731</v>
      </c>
      <c r="G20" s="26" t="s">
        <v>696</v>
      </c>
    </row>
    <row r="21" ht="79.5" customHeight="1" spans="1:7">
      <c r="A21" s="26"/>
      <c r="B21" s="26" t="s">
        <v>1732</v>
      </c>
      <c r="C21" s="26" t="s">
        <v>1733</v>
      </c>
      <c r="D21" s="26">
        <v>2.5</v>
      </c>
      <c r="E21" s="26">
        <v>2</v>
      </c>
      <c r="F21" s="26" t="s">
        <v>1734</v>
      </c>
      <c r="G21" s="26" t="s">
        <v>696</v>
      </c>
    </row>
    <row r="22" ht="79.5" customHeight="1" spans="1:7">
      <c r="A22" s="26"/>
      <c r="B22" s="26" t="s">
        <v>1735</v>
      </c>
      <c r="C22" s="26" t="s">
        <v>1736</v>
      </c>
      <c r="D22" s="26">
        <v>2.5</v>
      </c>
      <c r="E22" s="26">
        <v>2</v>
      </c>
      <c r="F22" s="25" t="s">
        <v>1737</v>
      </c>
      <c r="G22" s="26" t="s">
        <v>696</v>
      </c>
    </row>
    <row r="23" ht="79.5" customHeight="1" spans="1:7">
      <c r="A23" s="26"/>
      <c r="B23" s="26" t="s">
        <v>1738</v>
      </c>
      <c r="C23" s="26" t="s">
        <v>1739</v>
      </c>
      <c r="D23" s="26">
        <v>3</v>
      </c>
      <c r="E23" s="26">
        <v>3.5</v>
      </c>
      <c r="F23" s="26" t="s">
        <v>1740</v>
      </c>
      <c r="G23" s="26" t="s">
        <v>696</v>
      </c>
    </row>
    <row r="24" ht="79.5" customHeight="1" spans="1:7">
      <c r="A24" s="24" t="s">
        <v>1741</v>
      </c>
      <c r="B24" s="24"/>
      <c r="C24" s="24"/>
      <c r="D24" s="24"/>
      <c r="E24" s="24"/>
      <c r="F24" s="24"/>
      <c r="G24" s="24"/>
    </row>
    <row r="25" ht="79.5" customHeight="1" spans="1:7">
      <c r="A25" s="26"/>
      <c r="B25" s="26" t="s">
        <v>1742</v>
      </c>
      <c r="C25" s="26" t="s">
        <v>1743</v>
      </c>
      <c r="D25" s="26">
        <v>2.5</v>
      </c>
      <c r="E25" s="26">
        <v>3</v>
      </c>
      <c r="F25" s="25" t="s">
        <v>1744</v>
      </c>
      <c r="G25" s="26" t="s">
        <v>696</v>
      </c>
    </row>
    <row r="26" ht="79.5" customHeight="1" spans="1:7">
      <c r="A26" s="26"/>
      <c r="B26" s="26" t="s">
        <v>1745</v>
      </c>
      <c r="C26" s="26" t="s">
        <v>1746</v>
      </c>
      <c r="D26" s="26">
        <v>0.5</v>
      </c>
      <c r="E26" s="26">
        <v>3</v>
      </c>
      <c r="F26" s="25" t="s">
        <v>1747</v>
      </c>
      <c r="G26" s="26" t="s">
        <v>696</v>
      </c>
    </row>
    <row r="27" ht="79.5" customHeight="1" spans="1:7">
      <c r="A27" s="26"/>
      <c r="B27" s="26" t="s">
        <v>1748</v>
      </c>
      <c r="C27" s="26" t="s">
        <v>1749</v>
      </c>
      <c r="D27" s="26">
        <v>1</v>
      </c>
      <c r="E27" s="26">
        <v>1</v>
      </c>
      <c r="F27" s="25" t="s">
        <v>1750</v>
      </c>
      <c r="G27" s="26" t="s">
        <v>696</v>
      </c>
    </row>
    <row r="28" ht="79.5" customHeight="1"/>
    <row r="29" ht="16.5" customHeight="1" spans="1:8">
      <c r="A29" s="28" t="s">
        <v>431</v>
      </c>
      <c r="B29" s="29" t="s">
        <v>432</v>
      </c>
      <c r="C29" s="30"/>
      <c r="D29" s="28">
        <f>SUM(D2:D27)</f>
        <v>41</v>
      </c>
      <c r="E29" s="28">
        <f>SUM(E2:E27)</f>
        <v>52</v>
      </c>
      <c r="F29" s="28">
        <f>D29+E29</f>
        <v>93</v>
      </c>
      <c r="G29" s="30"/>
      <c r="H29" s="31"/>
    </row>
  </sheetData>
  <pageMargins left="0.75" right="0.75" top="1" bottom="1" header="0.511811023622047" footer="0.511811023622047"/>
  <pageSetup paperSize="9"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1"/>
  <sheetViews>
    <sheetView workbookViewId="0">
      <selection activeCell="A1" sqref="A1"/>
    </sheetView>
  </sheetViews>
  <sheetFormatPr defaultColWidth="8.53846153846154" defaultRowHeight="16.8" outlineLevelCol="7"/>
  <cols>
    <col min="1" max="1" width="16" customWidth="1"/>
    <col min="2" max="2" width="18" customWidth="1"/>
    <col min="3" max="3" width="60" customWidth="1"/>
    <col min="4" max="5" width="10" customWidth="1"/>
    <col min="6" max="6" width="40" customWidth="1"/>
    <col min="7" max="7" width="14" customWidth="1"/>
    <col min="8" max="8" width="16" customWidth="1"/>
  </cols>
  <sheetData>
    <row r="1" ht="28.5" customHeight="1" spans="1:8">
      <c r="A1" s="18" t="s">
        <v>342</v>
      </c>
      <c r="B1" s="18" t="s">
        <v>343</v>
      </c>
      <c r="C1" s="18" t="s">
        <v>344</v>
      </c>
      <c r="D1" s="18" t="s">
        <v>345</v>
      </c>
      <c r="E1" s="18" t="s">
        <v>346</v>
      </c>
      <c r="F1" s="18" t="s">
        <v>347</v>
      </c>
      <c r="G1" s="18" t="s">
        <v>348</v>
      </c>
      <c r="H1" s="18" t="s">
        <v>95</v>
      </c>
    </row>
    <row r="2" spans="1:8">
      <c r="A2" s="19" t="s">
        <v>1751</v>
      </c>
      <c r="B2" s="19"/>
      <c r="C2" s="19"/>
      <c r="D2" s="19"/>
      <c r="E2" s="19"/>
      <c r="F2" s="19"/>
      <c r="G2" s="19"/>
      <c r="H2" s="19"/>
    </row>
    <row r="3" ht="87" customHeight="1" spans="1:8">
      <c r="A3" s="20"/>
      <c r="B3" s="20" t="s">
        <v>1752</v>
      </c>
      <c r="C3" s="20" t="s">
        <v>1753</v>
      </c>
      <c r="D3" s="20">
        <v>2</v>
      </c>
      <c r="E3" s="20">
        <v>2.5</v>
      </c>
      <c r="F3" s="20" t="s">
        <v>1754</v>
      </c>
      <c r="G3" s="20" t="s">
        <v>696</v>
      </c>
      <c r="H3" s="20"/>
    </row>
    <row r="4" ht="57.75" customHeight="1" spans="1:8">
      <c r="A4" s="20"/>
      <c r="B4" s="20" t="s">
        <v>1755</v>
      </c>
      <c r="C4" s="20" t="s">
        <v>1756</v>
      </c>
      <c r="D4" s="20">
        <v>2</v>
      </c>
      <c r="E4" s="20">
        <v>2</v>
      </c>
      <c r="F4" s="20" t="s">
        <v>1757</v>
      </c>
      <c r="G4" s="20" t="s">
        <v>696</v>
      </c>
      <c r="H4" s="20"/>
    </row>
    <row r="5" ht="57.75" customHeight="1" spans="1:8">
      <c r="A5" s="20"/>
      <c r="B5" s="20" t="s">
        <v>1758</v>
      </c>
      <c r="C5" s="20" t="s">
        <v>1759</v>
      </c>
      <c r="D5" s="20">
        <v>1</v>
      </c>
      <c r="E5" s="20">
        <v>1.5</v>
      </c>
      <c r="F5" s="22" t="s">
        <v>1760</v>
      </c>
      <c r="G5" s="20" t="s">
        <v>696</v>
      </c>
      <c r="H5" s="20"/>
    </row>
    <row r="6" ht="57.75" customHeight="1" spans="1:8">
      <c r="A6" s="20"/>
      <c r="B6" s="20" t="s">
        <v>1761</v>
      </c>
      <c r="C6" s="20" t="s">
        <v>1762</v>
      </c>
      <c r="D6" s="20">
        <v>1.5</v>
      </c>
      <c r="E6" s="20">
        <v>1.5</v>
      </c>
      <c r="F6" s="20" t="s">
        <v>1763</v>
      </c>
      <c r="G6" s="20" t="s">
        <v>696</v>
      </c>
      <c r="H6" s="20"/>
    </row>
    <row r="7" ht="57.75" customHeight="1" spans="1:8">
      <c r="A7" s="20"/>
      <c r="B7" s="20" t="s">
        <v>1764</v>
      </c>
      <c r="C7" s="20" t="s">
        <v>1765</v>
      </c>
      <c r="D7" s="20">
        <v>2</v>
      </c>
      <c r="E7" s="20">
        <v>2</v>
      </c>
      <c r="F7" s="20" t="s">
        <v>1766</v>
      </c>
      <c r="G7" s="20" t="s">
        <v>696</v>
      </c>
      <c r="H7" s="20"/>
    </row>
    <row r="8" ht="57.75" customHeight="1" spans="1:8">
      <c r="A8" s="20"/>
      <c r="B8" s="20" t="s">
        <v>1767</v>
      </c>
      <c r="C8" s="20" t="s">
        <v>1768</v>
      </c>
      <c r="D8" s="20">
        <v>1</v>
      </c>
      <c r="E8" s="20">
        <v>1</v>
      </c>
      <c r="F8" s="20" t="s">
        <v>1769</v>
      </c>
      <c r="G8" s="20" t="s">
        <v>696</v>
      </c>
      <c r="H8" s="20"/>
    </row>
    <row r="9" ht="57.75" customHeight="1" spans="1:8">
      <c r="A9" s="20"/>
      <c r="B9" s="20" t="s">
        <v>1770</v>
      </c>
      <c r="C9" s="20" t="s">
        <v>1771</v>
      </c>
      <c r="D9" s="20">
        <v>2</v>
      </c>
      <c r="E9" s="20">
        <v>2</v>
      </c>
      <c r="F9" s="22" t="s">
        <v>1772</v>
      </c>
      <c r="G9" s="20" t="s">
        <v>696</v>
      </c>
      <c r="H9" s="20"/>
    </row>
    <row r="10" ht="28.5" customHeight="1" spans="1:8">
      <c r="A10" s="19" t="s">
        <v>1773</v>
      </c>
      <c r="B10" s="19"/>
      <c r="C10" s="19"/>
      <c r="D10" s="19"/>
      <c r="E10" s="19"/>
      <c r="F10" s="19"/>
      <c r="G10" s="19"/>
      <c r="H10" s="19"/>
    </row>
    <row r="11" ht="57.75" customHeight="1" spans="1:8">
      <c r="A11" s="20"/>
      <c r="B11" s="20" t="s">
        <v>1774</v>
      </c>
      <c r="C11" s="20" t="s">
        <v>1775</v>
      </c>
      <c r="D11" s="20">
        <v>1</v>
      </c>
      <c r="E11" s="20">
        <v>1</v>
      </c>
      <c r="F11" s="20" t="s">
        <v>1776</v>
      </c>
      <c r="G11" s="20" t="s">
        <v>696</v>
      </c>
      <c r="H11" s="20"/>
    </row>
    <row r="12" ht="72" customHeight="1" spans="1:8">
      <c r="A12" s="20"/>
      <c r="B12" s="20" t="s">
        <v>1777</v>
      </c>
      <c r="C12" s="20" t="s">
        <v>1778</v>
      </c>
      <c r="D12" s="20">
        <v>1.5</v>
      </c>
      <c r="E12" s="20">
        <v>1.5</v>
      </c>
      <c r="F12" s="20" t="s">
        <v>1779</v>
      </c>
      <c r="G12" s="20" t="s">
        <v>696</v>
      </c>
      <c r="H12" s="20"/>
    </row>
    <row r="13" ht="57.75" customHeight="1" spans="1:8">
      <c r="A13" s="20"/>
      <c r="B13" s="20" t="s">
        <v>1780</v>
      </c>
      <c r="C13" s="20" t="s">
        <v>1781</v>
      </c>
      <c r="D13" s="20">
        <v>2</v>
      </c>
      <c r="E13" s="20">
        <v>2.5</v>
      </c>
      <c r="F13" s="20" t="s">
        <v>1782</v>
      </c>
      <c r="G13" s="20" t="s">
        <v>696</v>
      </c>
      <c r="H13" s="20"/>
    </row>
    <row r="14" spans="1:8">
      <c r="A14" s="19" t="s">
        <v>1783</v>
      </c>
      <c r="B14" s="19"/>
      <c r="C14" s="19"/>
      <c r="D14" s="19"/>
      <c r="E14" s="19"/>
      <c r="F14" s="19"/>
      <c r="G14" s="19"/>
      <c r="H14" s="19"/>
    </row>
    <row r="15" ht="57.75" customHeight="1" spans="1:8">
      <c r="A15" s="20"/>
      <c r="B15" s="20" t="s">
        <v>1784</v>
      </c>
      <c r="C15" s="20" t="s">
        <v>1785</v>
      </c>
      <c r="D15" s="20">
        <v>3</v>
      </c>
      <c r="E15" s="20">
        <v>3</v>
      </c>
      <c r="F15" s="20" t="s">
        <v>1786</v>
      </c>
      <c r="G15" s="20" t="s">
        <v>696</v>
      </c>
      <c r="H15" s="20"/>
    </row>
    <row r="16" spans="1:8">
      <c r="A16" s="19" t="s">
        <v>1787</v>
      </c>
      <c r="B16" s="19"/>
      <c r="C16" s="19"/>
      <c r="D16" s="19"/>
      <c r="E16" s="19"/>
      <c r="F16" s="19"/>
      <c r="G16" s="19"/>
      <c r="H16" s="19"/>
    </row>
    <row r="17" ht="72" customHeight="1" spans="1:8">
      <c r="A17" s="20"/>
      <c r="B17" s="20" t="s">
        <v>1788</v>
      </c>
      <c r="C17" s="20" t="s">
        <v>1789</v>
      </c>
      <c r="D17" s="20">
        <v>2</v>
      </c>
      <c r="E17" s="20">
        <v>2</v>
      </c>
      <c r="F17" s="20" t="s">
        <v>1790</v>
      </c>
      <c r="G17" s="20" t="s">
        <v>696</v>
      </c>
      <c r="H17" s="20"/>
    </row>
    <row r="18" spans="1:8">
      <c r="A18" s="19" t="s">
        <v>1791</v>
      </c>
      <c r="B18" s="19"/>
      <c r="C18" s="19"/>
      <c r="D18" s="19"/>
      <c r="E18" s="19"/>
      <c r="F18" s="19"/>
      <c r="G18" s="19"/>
      <c r="H18" s="19"/>
    </row>
    <row r="19" ht="72" customHeight="1" spans="1:8">
      <c r="A19" s="20"/>
      <c r="B19" s="20" t="s">
        <v>1792</v>
      </c>
      <c r="C19" s="20" t="s">
        <v>1793</v>
      </c>
      <c r="D19" s="20">
        <v>1</v>
      </c>
      <c r="E19" s="20">
        <v>4</v>
      </c>
      <c r="F19" s="20" t="s">
        <v>1794</v>
      </c>
      <c r="G19" s="20" t="s">
        <v>696</v>
      </c>
      <c r="H19" s="20"/>
    </row>
    <row r="20" spans="1:8">
      <c r="A20" s="19" t="s">
        <v>1795</v>
      </c>
      <c r="B20" s="19"/>
      <c r="C20" s="19"/>
      <c r="D20" s="19"/>
      <c r="E20" s="19"/>
      <c r="F20" s="19"/>
      <c r="G20" s="19"/>
      <c r="H20" s="19"/>
    </row>
    <row r="21" ht="72" customHeight="1" spans="1:8">
      <c r="A21" s="20"/>
      <c r="B21" s="20" t="s">
        <v>1796</v>
      </c>
      <c r="C21" s="20" t="s">
        <v>1797</v>
      </c>
      <c r="D21" s="20">
        <v>3</v>
      </c>
      <c r="E21" s="20">
        <v>3</v>
      </c>
      <c r="F21" s="20" t="s">
        <v>1798</v>
      </c>
      <c r="G21" s="20" t="s">
        <v>696</v>
      </c>
      <c r="H21" s="20"/>
    </row>
    <row r="22" spans="1:8">
      <c r="A22" s="19" t="s">
        <v>1799</v>
      </c>
      <c r="B22" s="19"/>
      <c r="C22" s="19"/>
      <c r="D22" s="19"/>
      <c r="E22" s="19"/>
      <c r="F22" s="19"/>
      <c r="G22" s="19"/>
      <c r="H22" s="19"/>
    </row>
    <row r="23" ht="57.75" customHeight="1" spans="1:8">
      <c r="A23" s="20"/>
      <c r="B23" s="20" t="s">
        <v>1800</v>
      </c>
      <c r="C23" s="20" t="s">
        <v>1801</v>
      </c>
      <c r="D23" s="20">
        <v>1.5</v>
      </c>
      <c r="E23" s="20">
        <v>2</v>
      </c>
      <c r="F23" s="20" t="s">
        <v>1802</v>
      </c>
      <c r="G23" s="20" t="s">
        <v>696</v>
      </c>
      <c r="H23" s="20"/>
    </row>
    <row r="24" ht="72" customHeight="1" spans="1:8">
      <c r="A24" s="20"/>
      <c r="B24" s="20" t="s">
        <v>1803</v>
      </c>
      <c r="C24" s="20" t="s">
        <v>1804</v>
      </c>
      <c r="D24" s="20">
        <v>1.5</v>
      </c>
      <c r="E24" s="20">
        <v>2</v>
      </c>
      <c r="F24" s="22" t="s">
        <v>1805</v>
      </c>
      <c r="G24" s="20" t="s">
        <v>696</v>
      </c>
      <c r="H24" s="20"/>
    </row>
    <row r="25" ht="57.75" customHeight="1" spans="1:8">
      <c r="A25" s="20"/>
      <c r="B25" s="20" t="s">
        <v>1806</v>
      </c>
      <c r="C25" s="20" t="s">
        <v>1807</v>
      </c>
      <c r="D25" s="20">
        <v>1</v>
      </c>
      <c r="E25" s="20">
        <v>2</v>
      </c>
      <c r="F25" s="20" t="s">
        <v>1808</v>
      </c>
      <c r="G25" s="20" t="s">
        <v>696</v>
      </c>
      <c r="H25" s="20"/>
    </row>
    <row r="26" ht="28.5" customHeight="1" spans="1:8">
      <c r="A26" s="19" t="s">
        <v>1809</v>
      </c>
      <c r="B26" s="19"/>
      <c r="C26" s="19"/>
      <c r="D26" s="19"/>
      <c r="E26" s="19"/>
      <c r="F26" s="19"/>
      <c r="G26" s="19"/>
      <c r="H26" s="19"/>
    </row>
    <row r="27" ht="87" customHeight="1" spans="1:8">
      <c r="A27" s="20"/>
      <c r="B27" s="20" t="s">
        <v>1810</v>
      </c>
      <c r="C27" s="20" t="s">
        <v>1811</v>
      </c>
      <c r="D27" s="20">
        <v>3</v>
      </c>
      <c r="E27" s="20">
        <v>3</v>
      </c>
      <c r="F27" s="20" t="s">
        <v>1812</v>
      </c>
      <c r="G27" s="20" t="s">
        <v>696</v>
      </c>
      <c r="H27" s="20"/>
    </row>
    <row r="28" spans="1:8">
      <c r="A28" s="19" t="s">
        <v>1813</v>
      </c>
      <c r="B28" s="19"/>
      <c r="C28" s="19"/>
      <c r="D28" s="19"/>
      <c r="E28" s="19"/>
      <c r="F28" s="19"/>
      <c r="G28" s="19"/>
      <c r="H28" s="19"/>
    </row>
    <row r="29" ht="72" customHeight="1" spans="1:8">
      <c r="A29" s="20"/>
      <c r="B29" s="20" t="s">
        <v>1814</v>
      </c>
      <c r="C29" s="20" t="s">
        <v>1815</v>
      </c>
      <c r="D29" s="20">
        <v>2</v>
      </c>
      <c r="E29" s="20">
        <v>3</v>
      </c>
      <c r="F29" s="20" t="s">
        <v>1816</v>
      </c>
      <c r="G29" s="20" t="s">
        <v>696</v>
      </c>
      <c r="H29" s="20"/>
    </row>
    <row r="30" ht="72" customHeight="1" spans="1:8">
      <c r="A30" s="20"/>
      <c r="B30" s="20" t="s">
        <v>1817</v>
      </c>
      <c r="C30" s="20" t="s">
        <v>1818</v>
      </c>
      <c r="D30" s="20">
        <v>1.5</v>
      </c>
      <c r="E30" s="20">
        <v>2.5</v>
      </c>
      <c r="F30" s="20" t="s">
        <v>1819</v>
      </c>
      <c r="G30" s="20" t="s">
        <v>696</v>
      </c>
      <c r="H30" s="20"/>
    </row>
    <row r="31" ht="72" customHeight="1" spans="1:8">
      <c r="A31" s="20"/>
      <c r="B31" s="20" t="s">
        <v>1820</v>
      </c>
      <c r="C31" s="20" t="s">
        <v>1821</v>
      </c>
      <c r="D31" s="20">
        <v>2</v>
      </c>
      <c r="E31" s="20">
        <v>2.5</v>
      </c>
      <c r="F31" s="20" t="s">
        <v>1822</v>
      </c>
      <c r="G31" s="20" t="s">
        <v>696</v>
      </c>
      <c r="H31" s="20"/>
    </row>
    <row r="32" ht="57.75" customHeight="1" spans="1:8">
      <c r="A32" s="20"/>
      <c r="B32" s="20" t="s">
        <v>1823</v>
      </c>
      <c r="C32" s="20" t="s">
        <v>1824</v>
      </c>
      <c r="D32" s="20">
        <v>1</v>
      </c>
      <c r="E32" s="20">
        <v>2</v>
      </c>
      <c r="F32" s="22" t="s">
        <v>1825</v>
      </c>
      <c r="G32" s="20" t="s">
        <v>696</v>
      </c>
      <c r="H32" s="20"/>
    </row>
    <row r="33" spans="1:8">
      <c r="A33" s="19" t="s">
        <v>1826</v>
      </c>
      <c r="B33" s="19"/>
      <c r="C33" s="19"/>
      <c r="D33" s="19"/>
      <c r="E33" s="19"/>
      <c r="F33" s="19"/>
      <c r="G33" s="19"/>
      <c r="H33" s="19"/>
    </row>
    <row r="34" ht="72" customHeight="1" spans="1:8">
      <c r="A34" s="20"/>
      <c r="B34" s="20" t="s">
        <v>1827</v>
      </c>
      <c r="C34" s="20" t="s">
        <v>1828</v>
      </c>
      <c r="D34" s="20">
        <v>2</v>
      </c>
      <c r="E34" s="20">
        <v>2</v>
      </c>
      <c r="F34" s="20" t="s">
        <v>1829</v>
      </c>
      <c r="G34" s="20" t="s">
        <v>696</v>
      </c>
      <c r="H34" s="20"/>
    </row>
    <row r="35" ht="72" customHeight="1" spans="1:8">
      <c r="A35" s="20"/>
      <c r="B35" s="20" t="s">
        <v>1830</v>
      </c>
      <c r="C35" s="20" t="s">
        <v>1831</v>
      </c>
      <c r="D35" s="20">
        <v>2</v>
      </c>
      <c r="E35" s="20">
        <v>2</v>
      </c>
      <c r="F35" s="22" t="s">
        <v>1832</v>
      </c>
      <c r="G35" s="20" t="s">
        <v>696</v>
      </c>
      <c r="H35" s="20"/>
    </row>
    <row r="36" spans="1:8">
      <c r="A36" s="19" t="s">
        <v>1833</v>
      </c>
      <c r="B36" s="19"/>
      <c r="C36" s="19"/>
      <c r="D36" s="19"/>
      <c r="E36" s="19"/>
      <c r="F36" s="19"/>
      <c r="G36" s="19"/>
      <c r="H36" s="19"/>
    </row>
    <row r="37" ht="57.75" customHeight="1" spans="1:8">
      <c r="A37" s="20"/>
      <c r="B37" s="20" t="s">
        <v>1834</v>
      </c>
      <c r="C37" s="20" t="s">
        <v>1835</v>
      </c>
      <c r="D37" s="20">
        <v>1</v>
      </c>
      <c r="E37" s="20">
        <v>1.5</v>
      </c>
      <c r="F37" s="22" t="s">
        <v>1836</v>
      </c>
      <c r="G37" s="20" t="s">
        <v>696</v>
      </c>
      <c r="H37" s="20"/>
    </row>
    <row r="38" ht="72" customHeight="1" spans="1:8">
      <c r="A38" s="20"/>
      <c r="B38" s="20" t="s">
        <v>1837</v>
      </c>
      <c r="C38" s="20" t="s">
        <v>1838</v>
      </c>
      <c r="D38" s="20">
        <v>1</v>
      </c>
      <c r="E38" s="20">
        <v>1.5</v>
      </c>
      <c r="F38" s="20" t="s">
        <v>1839</v>
      </c>
      <c r="G38" s="20" t="s">
        <v>696</v>
      </c>
      <c r="H38" s="20"/>
    </row>
    <row r="39" spans="1:8">
      <c r="A39" s="19" t="s">
        <v>1840</v>
      </c>
      <c r="B39" s="19"/>
      <c r="C39" s="19"/>
      <c r="D39" s="19"/>
      <c r="E39" s="19"/>
      <c r="F39" s="19"/>
      <c r="G39" s="19"/>
      <c r="H39" s="19"/>
    </row>
    <row r="40" ht="72" customHeight="1" spans="1:8">
      <c r="A40" s="20"/>
      <c r="B40" s="20" t="s">
        <v>1841</v>
      </c>
      <c r="C40" s="20" t="s">
        <v>1842</v>
      </c>
      <c r="D40" s="20">
        <v>2</v>
      </c>
      <c r="E40" s="20">
        <v>3</v>
      </c>
      <c r="F40" s="20" t="s">
        <v>1843</v>
      </c>
      <c r="G40" s="20" t="s">
        <v>696</v>
      </c>
      <c r="H40" s="20"/>
    </row>
    <row r="41" spans="1:8">
      <c r="A41" s="21" t="s">
        <v>431</v>
      </c>
      <c r="B41" s="21" t="s">
        <v>432</v>
      </c>
      <c r="C41" s="21"/>
      <c r="D41" s="21">
        <f>SUM(D2:D40)</f>
        <v>46.5</v>
      </c>
      <c r="E41" s="21">
        <f>SUM(E2:E40)</f>
        <v>58.5</v>
      </c>
      <c r="F41" s="21">
        <f>D41+E41</f>
        <v>105</v>
      </c>
      <c r="G41" s="21"/>
      <c r="H41" s="21"/>
    </row>
  </sheetData>
  <pageMargins left="0.75" right="0.75" top="1" bottom="1" header="0.511811023622047" footer="0.511811023622047"/>
  <pageSetup paperSize="9" orientation="portrait" horizontalDpi="300" verticalDpi="3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workbookViewId="0">
      <selection activeCell="D2" sqref="D2"/>
    </sheetView>
  </sheetViews>
  <sheetFormatPr defaultColWidth="9" defaultRowHeight="16.8" outlineLevelCol="7"/>
  <cols>
    <col min="1" max="1" width="18" customWidth="1"/>
    <col min="2" max="2" width="22" customWidth="1"/>
    <col min="3" max="3" width="62" customWidth="1"/>
    <col min="4" max="5" width="10" customWidth="1"/>
    <col min="6" max="6" width="35" customWidth="1"/>
    <col min="7" max="7" width="14" customWidth="1"/>
    <col min="8" max="8" width="10" customWidth="1"/>
  </cols>
  <sheetData>
    <row r="1" ht="30" customHeight="1" spans="1:8">
      <c r="A1" s="1" t="s">
        <v>342</v>
      </c>
      <c r="B1" s="1" t="s">
        <v>343</v>
      </c>
      <c r="C1" s="1" t="s">
        <v>344</v>
      </c>
      <c r="D1" s="1" t="s">
        <v>345</v>
      </c>
      <c r="E1" s="1" t="s">
        <v>346</v>
      </c>
      <c r="F1" s="1" t="s">
        <v>347</v>
      </c>
      <c r="G1" s="1" t="s">
        <v>348</v>
      </c>
      <c r="H1" s="1" t="s">
        <v>95</v>
      </c>
    </row>
    <row r="2" ht="79.5" customHeight="1" spans="1:8">
      <c r="A2" s="2" t="s">
        <v>1844</v>
      </c>
      <c r="B2" s="2"/>
      <c r="C2" s="2"/>
      <c r="D2" s="2"/>
      <c r="E2" s="2"/>
      <c r="F2" s="2"/>
      <c r="G2" s="2"/>
      <c r="H2" s="2"/>
    </row>
    <row r="3" ht="79.5" customHeight="1" spans="1:8">
      <c r="A3" s="6"/>
      <c r="B3" s="3" t="s">
        <v>1845</v>
      </c>
      <c r="C3" s="3" t="s">
        <v>1846</v>
      </c>
      <c r="D3" s="3">
        <v>1.5</v>
      </c>
      <c r="E3" s="3">
        <v>1</v>
      </c>
      <c r="F3" s="3" t="s">
        <v>1847</v>
      </c>
      <c r="G3" s="3" t="s">
        <v>696</v>
      </c>
      <c r="H3" s="3"/>
    </row>
    <row r="4" ht="79.5" customHeight="1" spans="1:8">
      <c r="A4" s="3"/>
      <c r="B4" s="3" t="s">
        <v>1848</v>
      </c>
      <c r="C4" s="3" t="s">
        <v>1849</v>
      </c>
      <c r="D4" s="3">
        <v>1.5</v>
      </c>
      <c r="E4" s="3">
        <v>0.5</v>
      </c>
      <c r="F4" s="6" t="s">
        <v>1850</v>
      </c>
      <c r="G4" s="3" t="s">
        <v>696</v>
      </c>
      <c r="H4" s="3"/>
    </row>
    <row r="5" ht="79.5" customHeight="1" spans="1:8">
      <c r="A5" s="3"/>
      <c r="B5" s="3" t="s">
        <v>1851</v>
      </c>
      <c r="C5" s="3" t="s">
        <v>1852</v>
      </c>
      <c r="D5" s="3">
        <v>1.5</v>
      </c>
      <c r="E5" s="3">
        <v>0.5</v>
      </c>
      <c r="F5" s="3" t="s">
        <v>1853</v>
      </c>
      <c r="G5" s="3" t="s">
        <v>696</v>
      </c>
      <c r="H5" s="3"/>
    </row>
    <row r="6" ht="79.5" customHeight="1" spans="1:8">
      <c r="A6" s="3"/>
      <c r="B6" s="3" t="s">
        <v>1854</v>
      </c>
      <c r="C6" s="3" t="s">
        <v>1855</v>
      </c>
      <c r="D6" s="3">
        <v>2</v>
      </c>
      <c r="E6" s="3">
        <v>1.5</v>
      </c>
      <c r="F6" s="3" t="s">
        <v>1856</v>
      </c>
      <c r="G6" s="3" t="s">
        <v>696</v>
      </c>
      <c r="H6" s="3"/>
    </row>
    <row r="7" ht="79.5" customHeight="1" spans="1:8">
      <c r="A7" s="15"/>
      <c r="B7" s="16" t="s">
        <v>1857</v>
      </c>
      <c r="C7" s="15" t="s">
        <v>1858</v>
      </c>
      <c r="D7" s="15">
        <v>1</v>
      </c>
      <c r="E7" s="15">
        <v>0.5</v>
      </c>
      <c r="F7" s="15" t="s">
        <v>1859</v>
      </c>
      <c r="G7" s="15" t="s">
        <v>696</v>
      </c>
      <c r="H7" s="15" t="s">
        <v>799</v>
      </c>
    </row>
    <row r="8" ht="79.5" customHeight="1" spans="1:8">
      <c r="A8" s="15"/>
      <c r="B8" s="16" t="s">
        <v>1860</v>
      </c>
      <c r="C8" s="15" t="s">
        <v>1861</v>
      </c>
      <c r="D8" s="15">
        <v>1.5</v>
      </c>
      <c r="E8" s="15">
        <v>1.5</v>
      </c>
      <c r="F8" s="15" t="s">
        <v>1862</v>
      </c>
      <c r="G8" s="15" t="s">
        <v>696</v>
      </c>
      <c r="H8" s="15" t="s">
        <v>799</v>
      </c>
    </row>
    <row r="9" ht="79.5" customHeight="1" spans="1:8">
      <c r="A9" s="15"/>
      <c r="B9" s="16" t="s">
        <v>1863</v>
      </c>
      <c r="C9" s="15" t="s">
        <v>1864</v>
      </c>
      <c r="D9" s="15">
        <v>0.5</v>
      </c>
      <c r="E9" s="15">
        <v>0.5</v>
      </c>
      <c r="F9" s="15" t="s">
        <v>1865</v>
      </c>
      <c r="G9" s="15" t="s">
        <v>696</v>
      </c>
      <c r="H9" s="15" t="s">
        <v>799</v>
      </c>
    </row>
    <row r="10" ht="79.5" customHeight="1" spans="1:8">
      <c r="A10" s="2" t="s">
        <v>1866</v>
      </c>
      <c r="B10" s="2"/>
      <c r="C10" s="2"/>
      <c r="D10" s="2"/>
      <c r="E10" s="2"/>
      <c r="F10" s="2"/>
      <c r="G10" s="2"/>
      <c r="H10" s="2"/>
    </row>
    <row r="11" ht="79.5" customHeight="1" spans="1:8">
      <c r="A11" s="3"/>
      <c r="B11" s="3" t="s">
        <v>1867</v>
      </c>
      <c r="C11" s="6" t="s">
        <v>1868</v>
      </c>
      <c r="D11" s="3">
        <v>2</v>
      </c>
      <c r="E11" s="3">
        <v>0.5</v>
      </c>
      <c r="F11" s="3" t="s">
        <v>1869</v>
      </c>
      <c r="G11" s="3" t="s">
        <v>696</v>
      </c>
      <c r="H11" s="3"/>
    </row>
    <row r="12" ht="79.5" customHeight="1" spans="1:8">
      <c r="A12" s="3"/>
      <c r="B12" s="3" t="s">
        <v>1870</v>
      </c>
      <c r="C12" s="6" t="s">
        <v>1871</v>
      </c>
      <c r="D12" s="3">
        <v>1.5</v>
      </c>
      <c r="E12" s="3">
        <v>0.5</v>
      </c>
      <c r="F12" s="3" t="s">
        <v>1872</v>
      </c>
      <c r="G12" s="3" t="s">
        <v>696</v>
      </c>
      <c r="H12" s="3"/>
    </row>
    <row r="13" ht="79.5" customHeight="1" spans="1:8">
      <c r="A13" s="3"/>
      <c r="B13" s="3" t="s">
        <v>1873</v>
      </c>
      <c r="C13" s="6" t="s">
        <v>1874</v>
      </c>
      <c r="D13" s="3">
        <v>1.5</v>
      </c>
      <c r="E13" s="3">
        <v>0.5</v>
      </c>
      <c r="F13" s="3" t="s">
        <v>1875</v>
      </c>
      <c r="G13" s="3" t="s">
        <v>696</v>
      </c>
      <c r="H13" s="3"/>
    </row>
    <row r="14" ht="79.5" customHeight="1" spans="1:8">
      <c r="A14" s="17"/>
      <c r="B14" s="16" t="s">
        <v>1876</v>
      </c>
      <c r="C14" s="17" t="s">
        <v>1877</v>
      </c>
      <c r="D14" s="17">
        <v>1.5</v>
      </c>
      <c r="E14" s="17">
        <v>0.5</v>
      </c>
      <c r="F14" s="17" t="s">
        <v>1878</v>
      </c>
      <c r="G14" s="16" t="s">
        <v>1879</v>
      </c>
      <c r="H14" s="16" t="s">
        <v>799</v>
      </c>
    </row>
    <row r="15" ht="79.5" customHeight="1" spans="1:8">
      <c r="A15" s="16"/>
      <c r="B15" s="16" t="s">
        <v>1880</v>
      </c>
      <c r="C15" s="17" t="s">
        <v>1881</v>
      </c>
      <c r="D15" s="16">
        <v>1</v>
      </c>
      <c r="E15" s="16">
        <v>0.5</v>
      </c>
      <c r="F15" s="16" t="s">
        <v>1882</v>
      </c>
      <c r="G15" s="16" t="s">
        <v>1879</v>
      </c>
      <c r="H15" s="16" t="s">
        <v>799</v>
      </c>
    </row>
    <row r="16" ht="79.5" customHeight="1" spans="1:8">
      <c r="A16" s="16"/>
      <c r="B16" s="16" t="s">
        <v>1883</v>
      </c>
      <c r="C16" s="16" t="s">
        <v>1884</v>
      </c>
      <c r="D16" s="16">
        <v>1</v>
      </c>
      <c r="E16" s="16">
        <v>0.5</v>
      </c>
      <c r="F16" s="16" t="s">
        <v>1885</v>
      </c>
      <c r="G16" s="16" t="s">
        <v>1879</v>
      </c>
      <c r="H16" s="16" t="s">
        <v>799</v>
      </c>
    </row>
    <row r="17" ht="79.5" customHeight="1" spans="1:8">
      <c r="A17" s="16"/>
      <c r="B17" s="16" t="s">
        <v>1886</v>
      </c>
      <c r="C17" s="17" t="s">
        <v>1887</v>
      </c>
      <c r="D17" s="16">
        <v>1.5</v>
      </c>
      <c r="E17" s="16">
        <v>0.5</v>
      </c>
      <c r="F17" s="16" t="s">
        <v>1888</v>
      </c>
      <c r="G17" s="16" t="s">
        <v>1879</v>
      </c>
      <c r="H17" s="16" t="s">
        <v>799</v>
      </c>
    </row>
    <row r="18" ht="79.5" customHeight="1" spans="1:8">
      <c r="A18" s="2" t="s">
        <v>1889</v>
      </c>
      <c r="B18" s="2"/>
      <c r="C18" s="2"/>
      <c r="D18" s="2"/>
      <c r="E18" s="2"/>
      <c r="F18" s="2"/>
      <c r="G18" s="2"/>
      <c r="H18" s="2"/>
    </row>
    <row r="19" ht="79.5" customHeight="1" spans="1:8">
      <c r="A19" s="3"/>
      <c r="B19" s="3" t="s">
        <v>1890</v>
      </c>
      <c r="C19" s="3" t="s">
        <v>1891</v>
      </c>
      <c r="D19" s="3">
        <v>1</v>
      </c>
      <c r="E19" s="3">
        <v>0.5</v>
      </c>
      <c r="F19" s="3" t="s">
        <v>1892</v>
      </c>
      <c r="G19" s="3" t="s">
        <v>696</v>
      </c>
      <c r="H19" s="3"/>
    </row>
    <row r="20" ht="79.5" customHeight="1" spans="1:8">
      <c r="A20" s="3"/>
      <c r="B20" s="3" t="s">
        <v>1893</v>
      </c>
      <c r="C20" s="3" t="s">
        <v>1894</v>
      </c>
      <c r="D20" s="3">
        <v>1.5</v>
      </c>
      <c r="E20" s="3">
        <v>0.5</v>
      </c>
      <c r="F20" s="3" t="s">
        <v>1895</v>
      </c>
      <c r="G20" s="3" t="s">
        <v>696</v>
      </c>
      <c r="H20" s="3"/>
    </row>
    <row r="21" ht="79.5" customHeight="1" spans="1:8">
      <c r="A21" s="15"/>
      <c r="B21" s="16" t="s">
        <v>1896</v>
      </c>
      <c r="C21" s="15" t="s">
        <v>1897</v>
      </c>
      <c r="D21" s="15">
        <v>2</v>
      </c>
      <c r="E21" s="15">
        <v>1</v>
      </c>
      <c r="F21" s="15" t="s">
        <v>1898</v>
      </c>
      <c r="G21" s="15" t="s">
        <v>696</v>
      </c>
      <c r="H21" s="15" t="s">
        <v>799</v>
      </c>
    </row>
    <row r="22" ht="79.5" customHeight="1" spans="1:8">
      <c r="A22" s="15"/>
      <c r="B22" s="16" t="s">
        <v>1899</v>
      </c>
      <c r="C22" s="15" t="s">
        <v>1900</v>
      </c>
      <c r="D22" s="15">
        <v>1</v>
      </c>
      <c r="E22" s="15">
        <v>0.5</v>
      </c>
      <c r="F22" s="15" t="s">
        <v>1901</v>
      </c>
      <c r="G22" s="15" t="s">
        <v>696</v>
      </c>
      <c r="H22" s="15" t="s">
        <v>799</v>
      </c>
    </row>
    <row r="23" ht="79.5" customHeight="1" spans="1:8">
      <c r="A23" s="15"/>
      <c r="B23" s="16" t="s">
        <v>1902</v>
      </c>
      <c r="C23" s="15" t="s">
        <v>1903</v>
      </c>
      <c r="D23" s="15">
        <v>0.5</v>
      </c>
      <c r="E23" s="15">
        <v>0.5</v>
      </c>
      <c r="F23" s="15" t="s">
        <v>1904</v>
      </c>
      <c r="G23" s="15" t="s">
        <v>696</v>
      </c>
      <c r="H23" s="16" t="s">
        <v>799</v>
      </c>
    </row>
    <row r="24" ht="79.5" customHeight="1" spans="1:8">
      <c r="A24" s="8" t="s">
        <v>1905</v>
      </c>
      <c r="B24" s="16"/>
      <c r="C24" s="15"/>
      <c r="D24" s="15"/>
      <c r="E24" s="15"/>
      <c r="F24" s="15"/>
      <c r="G24" s="15"/>
      <c r="H24" s="16" t="s">
        <v>799</v>
      </c>
    </row>
    <row r="25" ht="79.5" customHeight="1" spans="1:8">
      <c r="A25" s="16"/>
      <c r="B25" s="16" t="s">
        <v>1906</v>
      </c>
      <c r="C25" s="16" t="s">
        <v>1907</v>
      </c>
      <c r="D25" s="16">
        <v>2</v>
      </c>
      <c r="E25" s="16">
        <v>0.5</v>
      </c>
      <c r="F25" s="16" t="s">
        <v>1908</v>
      </c>
      <c r="G25" s="16" t="s">
        <v>1909</v>
      </c>
      <c r="H25" s="16" t="s">
        <v>799</v>
      </c>
    </row>
    <row r="26" ht="79.5" customHeight="1" spans="1:8">
      <c r="A26" s="16"/>
      <c r="B26" s="16" t="s">
        <v>1910</v>
      </c>
      <c r="C26" s="16" t="s">
        <v>1911</v>
      </c>
      <c r="D26" s="16">
        <v>0.5</v>
      </c>
      <c r="E26" s="16">
        <v>0.5</v>
      </c>
      <c r="F26" s="16" t="s">
        <v>1912</v>
      </c>
      <c r="G26" s="16" t="s">
        <v>1909</v>
      </c>
      <c r="H26" s="16" t="s">
        <v>799</v>
      </c>
    </row>
    <row r="27" ht="79.5" customHeight="1" spans="1:8">
      <c r="A27" s="4" t="s">
        <v>431</v>
      </c>
      <c r="B27" s="5" t="s">
        <v>1913</v>
      </c>
      <c r="C27" s="4"/>
      <c r="D27" s="4">
        <v>30</v>
      </c>
      <c r="E27" s="4">
        <v>13.5</v>
      </c>
      <c r="F27" s="4"/>
      <c r="G27" s="4"/>
      <c r="H27" s="4"/>
    </row>
  </sheetData>
  <pageMargins left="0.75" right="0.75" top="1" bottom="1" header="0.511811023622047" footer="0.511811023622047"/>
  <pageSetup paperSize="9"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workbookViewId="0">
      <selection activeCell="M6" sqref="M6"/>
    </sheetView>
  </sheetViews>
  <sheetFormatPr defaultColWidth="9" defaultRowHeight="16.8" outlineLevelCol="7"/>
  <cols>
    <col min="1" max="1" width="18" customWidth="1"/>
    <col min="2" max="2" width="22" customWidth="1"/>
    <col min="3" max="3" width="62" customWidth="1"/>
    <col min="4" max="5" width="10" customWidth="1"/>
    <col min="6" max="6" width="35" customWidth="1"/>
    <col min="7" max="7" width="14" customWidth="1"/>
    <col min="8" max="8" width="10" customWidth="1"/>
  </cols>
  <sheetData>
    <row r="1" ht="30" customHeight="1" spans="1:8">
      <c r="A1" s="1" t="s">
        <v>342</v>
      </c>
      <c r="B1" s="1" t="s">
        <v>343</v>
      </c>
      <c r="C1" s="1" t="s">
        <v>344</v>
      </c>
      <c r="D1" s="1" t="s">
        <v>345</v>
      </c>
      <c r="E1" s="1" t="s">
        <v>346</v>
      </c>
      <c r="F1" s="1" t="s">
        <v>347</v>
      </c>
      <c r="G1" s="1" t="s">
        <v>348</v>
      </c>
      <c r="H1" s="1" t="s">
        <v>95</v>
      </c>
    </row>
    <row r="2" ht="79.5" customHeight="1" spans="1:8">
      <c r="A2" s="2" t="s">
        <v>1914</v>
      </c>
      <c r="B2" s="2"/>
      <c r="C2" s="2"/>
      <c r="D2" s="2"/>
      <c r="E2" s="2"/>
      <c r="F2" s="2"/>
      <c r="G2" s="2"/>
      <c r="H2" s="2"/>
    </row>
    <row r="3" ht="79.5" customHeight="1" spans="1:8">
      <c r="A3" s="3"/>
      <c r="B3" s="3" t="s">
        <v>1915</v>
      </c>
      <c r="C3" s="6" t="s">
        <v>1916</v>
      </c>
      <c r="D3" s="3">
        <v>1.5</v>
      </c>
      <c r="E3" s="3">
        <v>0.5</v>
      </c>
      <c r="F3" s="3" t="s">
        <v>1917</v>
      </c>
      <c r="G3" s="3" t="s">
        <v>696</v>
      </c>
      <c r="H3" s="3" t="s">
        <v>799</v>
      </c>
    </row>
    <row r="4" ht="79.5" customHeight="1" spans="1:8">
      <c r="A4" s="3"/>
      <c r="B4" s="3" t="s">
        <v>1918</v>
      </c>
      <c r="C4" s="3" t="s">
        <v>1919</v>
      </c>
      <c r="D4" s="3">
        <v>1.5</v>
      </c>
      <c r="E4" s="3">
        <v>0.5</v>
      </c>
      <c r="F4" s="3" t="s">
        <v>1920</v>
      </c>
      <c r="G4" s="3" t="s">
        <v>696</v>
      </c>
      <c r="H4" s="3" t="s">
        <v>799</v>
      </c>
    </row>
    <row r="5" ht="79.5" customHeight="1" spans="1:8">
      <c r="A5" s="3"/>
      <c r="B5" s="3" t="s">
        <v>1921</v>
      </c>
      <c r="C5" s="3" t="s">
        <v>1922</v>
      </c>
      <c r="D5" s="3">
        <v>1</v>
      </c>
      <c r="E5" s="3">
        <v>1</v>
      </c>
      <c r="F5" s="3" t="s">
        <v>1923</v>
      </c>
      <c r="G5" s="3" t="s">
        <v>696</v>
      </c>
      <c r="H5" s="3" t="s">
        <v>799</v>
      </c>
    </row>
    <row r="6" ht="79.5" customHeight="1" spans="1:8">
      <c r="A6" s="2" t="s">
        <v>1924</v>
      </c>
      <c r="B6" s="2"/>
      <c r="C6" s="2"/>
      <c r="D6" s="2"/>
      <c r="E6" s="2"/>
      <c r="F6" s="2"/>
      <c r="G6" s="2"/>
      <c r="H6" s="2"/>
    </row>
    <row r="7" ht="79.5" customHeight="1" spans="1:8">
      <c r="A7" s="3"/>
      <c r="B7" s="3" t="s">
        <v>1925</v>
      </c>
      <c r="C7" s="3" t="s">
        <v>1926</v>
      </c>
      <c r="D7" s="3">
        <v>2</v>
      </c>
      <c r="E7" s="3">
        <v>1.5</v>
      </c>
      <c r="F7" s="3" t="s">
        <v>1927</v>
      </c>
      <c r="G7" s="3" t="s">
        <v>696</v>
      </c>
      <c r="H7" s="3" t="s">
        <v>799</v>
      </c>
    </row>
    <row r="8" ht="79.5" customHeight="1" spans="1:8">
      <c r="A8" s="3"/>
      <c r="B8" s="3" t="s">
        <v>1928</v>
      </c>
      <c r="C8" s="3" t="s">
        <v>1929</v>
      </c>
      <c r="D8" s="3">
        <v>1.5</v>
      </c>
      <c r="E8" s="3">
        <v>1</v>
      </c>
      <c r="F8" s="3" t="s">
        <v>1930</v>
      </c>
      <c r="G8" s="3" t="s">
        <v>696</v>
      </c>
      <c r="H8" s="3" t="s">
        <v>799</v>
      </c>
    </row>
    <row r="9" ht="79.5" customHeight="1" spans="1:8">
      <c r="A9" s="3"/>
      <c r="B9" s="3" t="s">
        <v>1931</v>
      </c>
      <c r="C9" s="3" t="s">
        <v>1932</v>
      </c>
      <c r="D9" s="3">
        <v>1.5</v>
      </c>
      <c r="E9" s="3">
        <v>1</v>
      </c>
      <c r="F9" s="3" t="s">
        <v>1933</v>
      </c>
      <c r="G9" s="3" t="s">
        <v>696</v>
      </c>
      <c r="H9" s="3" t="s">
        <v>799</v>
      </c>
    </row>
    <row r="10" ht="79.5" customHeight="1" spans="1:8">
      <c r="A10" s="3"/>
      <c r="B10" s="3" t="s">
        <v>1934</v>
      </c>
      <c r="C10" s="3" t="s">
        <v>1935</v>
      </c>
      <c r="D10" s="3">
        <v>1.5</v>
      </c>
      <c r="E10" s="3">
        <v>1</v>
      </c>
      <c r="F10" s="3" t="s">
        <v>1936</v>
      </c>
      <c r="G10" s="3" t="s">
        <v>696</v>
      </c>
      <c r="H10" s="3" t="s">
        <v>799</v>
      </c>
    </row>
    <row r="11" ht="79.5" customHeight="1" spans="1:8">
      <c r="A11" s="7" t="s">
        <v>1937</v>
      </c>
      <c r="B11" s="2"/>
      <c r="C11" s="2"/>
      <c r="D11" s="2"/>
      <c r="E11" s="2"/>
      <c r="F11" s="2"/>
      <c r="G11" s="2"/>
      <c r="H11" s="2"/>
    </row>
    <row r="12" ht="79.5" customHeight="1" spans="1:8">
      <c r="A12" s="3"/>
      <c r="B12" s="3" t="s">
        <v>1938</v>
      </c>
      <c r="C12" s="3" t="s">
        <v>1939</v>
      </c>
      <c r="D12" s="3">
        <v>1.5</v>
      </c>
      <c r="E12" s="3">
        <v>0.5</v>
      </c>
      <c r="F12" s="3" t="s">
        <v>1940</v>
      </c>
      <c r="G12" s="3" t="s">
        <v>696</v>
      </c>
      <c r="H12" s="3" t="s">
        <v>799</v>
      </c>
    </row>
    <row r="13" ht="79.5" customHeight="1" spans="1:8">
      <c r="A13" s="3"/>
      <c r="B13" s="3" t="s">
        <v>1941</v>
      </c>
      <c r="C13" s="3" t="s">
        <v>1942</v>
      </c>
      <c r="D13" s="3">
        <v>0.5</v>
      </c>
      <c r="E13" s="3">
        <v>0.5</v>
      </c>
      <c r="F13" s="3" t="s">
        <v>1943</v>
      </c>
      <c r="G13" s="3" t="s">
        <v>696</v>
      </c>
      <c r="H13" s="3" t="s">
        <v>799</v>
      </c>
    </row>
    <row r="14" ht="79.5" customHeight="1" spans="1:8">
      <c r="A14" s="8" t="s">
        <v>1944</v>
      </c>
      <c r="B14" s="2"/>
      <c r="C14" s="2"/>
      <c r="D14" s="2"/>
      <c r="E14" s="2"/>
      <c r="F14" s="2"/>
      <c r="G14" s="2"/>
      <c r="H14" s="2"/>
    </row>
    <row r="15" ht="67.5" customHeight="1" spans="1:8">
      <c r="A15" s="9"/>
      <c r="B15" s="10" t="s">
        <v>1945</v>
      </c>
      <c r="C15" s="11" t="s">
        <v>1946</v>
      </c>
      <c r="D15" s="9">
        <v>2</v>
      </c>
      <c r="E15" s="9">
        <v>1.5</v>
      </c>
      <c r="F15" s="9" t="s">
        <v>1947</v>
      </c>
      <c r="G15" s="11" t="s">
        <v>798</v>
      </c>
      <c r="H15" s="11" t="s">
        <v>799</v>
      </c>
    </row>
    <row r="16" ht="84" customHeight="1" spans="1:8">
      <c r="A16" s="9"/>
      <c r="B16" s="12" t="s">
        <v>1948</v>
      </c>
      <c r="C16" s="11" t="s">
        <v>1949</v>
      </c>
      <c r="D16" s="9">
        <v>1.5</v>
      </c>
      <c r="E16" s="9">
        <v>0.5</v>
      </c>
      <c r="F16" s="11" t="s">
        <v>1950</v>
      </c>
      <c r="G16" s="11" t="s">
        <v>798</v>
      </c>
      <c r="H16" s="11" t="s">
        <v>799</v>
      </c>
    </row>
    <row r="17" ht="67.5" customHeight="1" spans="1:8">
      <c r="A17" s="9"/>
      <c r="B17" s="10" t="s">
        <v>1951</v>
      </c>
      <c r="C17" s="11" t="s">
        <v>1952</v>
      </c>
      <c r="D17" s="9">
        <v>1.5</v>
      </c>
      <c r="E17" s="9">
        <v>0.5</v>
      </c>
      <c r="F17" s="11" t="s">
        <v>1953</v>
      </c>
      <c r="G17" s="11" t="s">
        <v>798</v>
      </c>
      <c r="H17" s="11" t="s">
        <v>799</v>
      </c>
    </row>
    <row r="18" ht="31.5" customHeight="1" spans="1:8">
      <c r="A18" s="8" t="s">
        <v>1954</v>
      </c>
      <c r="B18" s="2"/>
      <c r="C18" s="2"/>
      <c r="D18" s="2"/>
      <c r="E18" s="2"/>
      <c r="F18" s="2"/>
      <c r="G18" s="2"/>
      <c r="H18" s="2"/>
    </row>
    <row r="19" ht="84" customHeight="1" spans="1:8">
      <c r="A19" s="9"/>
      <c r="B19" s="10" t="s">
        <v>1955</v>
      </c>
      <c r="C19" s="11" t="s">
        <v>1956</v>
      </c>
      <c r="D19" s="9">
        <v>1</v>
      </c>
      <c r="E19" s="9">
        <v>0.5</v>
      </c>
      <c r="F19" s="11" t="s">
        <v>1957</v>
      </c>
      <c r="G19" s="11" t="s">
        <v>798</v>
      </c>
      <c r="H19" s="11" t="s">
        <v>799</v>
      </c>
    </row>
    <row r="20" ht="84" customHeight="1" spans="1:8">
      <c r="A20" s="9"/>
      <c r="B20" s="10" t="s">
        <v>1958</v>
      </c>
      <c r="C20" s="11" t="s">
        <v>1959</v>
      </c>
      <c r="D20" s="9">
        <v>1.5</v>
      </c>
      <c r="E20" s="9">
        <v>1.5</v>
      </c>
      <c r="F20" s="9" t="s">
        <v>1960</v>
      </c>
      <c r="G20" s="11" t="s">
        <v>798</v>
      </c>
      <c r="H20" s="11" t="s">
        <v>799</v>
      </c>
    </row>
    <row r="21" ht="84" customHeight="1" spans="1:8">
      <c r="A21" s="9"/>
      <c r="B21" s="10" t="s">
        <v>1961</v>
      </c>
      <c r="C21" s="11" t="s">
        <v>1962</v>
      </c>
      <c r="D21" s="9">
        <v>1</v>
      </c>
      <c r="E21" s="9">
        <v>0.5</v>
      </c>
      <c r="F21" s="11" t="s">
        <v>1963</v>
      </c>
      <c r="G21" s="11" t="s">
        <v>798</v>
      </c>
      <c r="H21" s="11" t="s">
        <v>799</v>
      </c>
    </row>
    <row r="22" ht="67.5" customHeight="1" spans="1:8">
      <c r="A22" s="9"/>
      <c r="B22" s="10" t="s">
        <v>1964</v>
      </c>
      <c r="C22" s="9" t="s">
        <v>1965</v>
      </c>
      <c r="D22" s="9">
        <v>1</v>
      </c>
      <c r="E22" s="9">
        <v>0.5</v>
      </c>
      <c r="F22" s="11" t="s">
        <v>1966</v>
      </c>
      <c r="G22" s="11" t="s">
        <v>798</v>
      </c>
      <c r="H22" s="11" t="s">
        <v>799</v>
      </c>
    </row>
    <row r="23" ht="28.5" customHeight="1" spans="1:8">
      <c r="A23" s="8" t="s">
        <v>1967</v>
      </c>
      <c r="B23" s="2"/>
      <c r="C23" s="2"/>
      <c r="D23" s="2"/>
      <c r="E23" s="2"/>
      <c r="F23" s="2"/>
      <c r="G23" s="2"/>
      <c r="H23" s="2"/>
    </row>
    <row r="24" ht="67.5" customHeight="1" spans="1:8">
      <c r="A24" s="9"/>
      <c r="B24" s="10" t="s">
        <v>1968</v>
      </c>
      <c r="C24" s="11" t="s">
        <v>1969</v>
      </c>
      <c r="D24" s="9">
        <v>1</v>
      </c>
      <c r="E24" s="9">
        <v>0.5</v>
      </c>
      <c r="F24" s="11" t="s">
        <v>1970</v>
      </c>
      <c r="G24" s="11" t="s">
        <v>798</v>
      </c>
      <c r="H24" s="11" t="s">
        <v>799</v>
      </c>
    </row>
    <row r="25" ht="67.5" customHeight="1" spans="1:8">
      <c r="A25" s="9"/>
      <c r="B25" s="10" t="s">
        <v>1971</v>
      </c>
      <c r="C25" s="11" t="s">
        <v>1972</v>
      </c>
      <c r="D25" s="9">
        <v>1</v>
      </c>
      <c r="E25" s="9">
        <v>0.5</v>
      </c>
      <c r="F25" s="11" t="s">
        <v>1973</v>
      </c>
      <c r="G25" s="11" t="s">
        <v>798</v>
      </c>
      <c r="H25" s="11" t="s">
        <v>799</v>
      </c>
    </row>
    <row r="26" ht="67.5" customHeight="1" spans="1:8">
      <c r="A26" s="9"/>
      <c r="B26" s="10" t="s">
        <v>1974</v>
      </c>
      <c r="C26" s="11" t="s">
        <v>1975</v>
      </c>
      <c r="D26" s="9">
        <v>0.5</v>
      </c>
      <c r="E26" s="9">
        <v>0.5</v>
      </c>
      <c r="F26" s="11" t="s">
        <v>1976</v>
      </c>
      <c r="G26" s="11" t="s">
        <v>798</v>
      </c>
      <c r="H26" s="11" t="s">
        <v>799</v>
      </c>
    </row>
    <row r="27" spans="1:8">
      <c r="A27" s="13" t="s">
        <v>431</v>
      </c>
      <c r="B27" s="14" t="s">
        <v>1977</v>
      </c>
      <c r="C27" s="13"/>
      <c r="D27" s="13">
        <v>26.5</v>
      </c>
      <c r="E27" s="13">
        <v>14.5</v>
      </c>
      <c r="F27" s="13"/>
      <c r="G27" s="13"/>
      <c r="H27" s="13"/>
    </row>
  </sheetData>
  <pageMargins left="0.75" right="0.75" top="1" bottom="1" header="0.511811023622047" footer="0.511811023622047"/>
  <pageSetup paperSize="9" orientation="portrait" horizontalDpi="300" verticalDpi="3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tabSelected="1" workbookViewId="0">
      <selection activeCell="C4" sqref="C4"/>
    </sheetView>
  </sheetViews>
  <sheetFormatPr defaultColWidth="9" defaultRowHeight="16.8" outlineLevelRow="7" outlineLevelCol="7"/>
  <cols>
    <col min="1" max="1" width="18" customWidth="1"/>
    <col min="2" max="2" width="22" customWidth="1"/>
    <col min="3" max="3" width="65" customWidth="1"/>
    <col min="4" max="5" width="10" customWidth="1"/>
    <col min="6" max="6" width="35" customWidth="1"/>
    <col min="7" max="7" width="14" customWidth="1"/>
    <col min="8" max="8" width="16" customWidth="1"/>
  </cols>
  <sheetData>
    <row r="1" ht="30" customHeight="1" spans="1:8">
      <c r="A1" s="1" t="s">
        <v>342</v>
      </c>
      <c r="B1" s="1" t="s">
        <v>343</v>
      </c>
      <c r="C1" s="1" t="s">
        <v>344</v>
      </c>
      <c r="D1" s="1" t="s">
        <v>345</v>
      </c>
      <c r="E1" s="1" t="s">
        <v>346</v>
      </c>
      <c r="F1" s="1" t="s">
        <v>347</v>
      </c>
      <c r="G1" s="1" t="s">
        <v>348</v>
      </c>
      <c r="H1" s="1" t="s">
        <v>95</v>
      </c>
    </row>
    <row r="2" ht="79.5" customHeight="1" spans="1:8">
      <c r="A2" s="2" t="s">
        <v>1978</v>
      </c>
      <c r="B2" s="2"/>
      <c r="C2" s="2"/>
      <c r="D2" s="2"/>
      <c r="E2" s="2"/>
      <c r="F2" s="2"/>
      <c r="G2" s="2"/>
      <c r="H2" s="2"/>
    </row>
    <row r="3" ht="79.5" customHeight="1" spans="1:8">
      <c r="A3" s="3"/>
      <c r="B3" s="3" t="s">
        <v>1979</v>
      </c>
      <c r="C3" s="3" t="s">
        <v>1980</v>
      </c>
      <c r="D3" s="3">
        <v>2</v>
      </c>
      <c r="E3" s="3">
        <v>2</v>
      </c>
      <c r="F3" s="6" t="s">
        <v>1981</v>
      </c>
      <c r="G3" s="3" t="s">
        <v>696</v>
      </c>
      <c r="H3" s="3" t="s">
        <v>1982</v>
      </c>
    </row>
    <row r="4" ht="79.5" customHeight="1" spans="1:8">
      <c r="A4" s="3"/>
      <c r="B4" s="3" t="s">
        <v>1983</v>
      </c>
      <c r="C4" s="3" t="s">
        <v>1984</v>
      </c>
      <c r="D4" s="3">
        <v>2</v>
      </c>
      <c r="E4" s="3">
        <v>2</v>
      </c>
      <c r="F4" s="3" t="s">
        <v>1985</v>
      </c>
      <c r="G4" s="3" t="s">
        <v>696</v>
      </c>
      <c r="H4" s="3" t="s">
        <v>1982</v>
      </c>
    </row>
    <row r="5" ht="79.5" customHeight="1" spans="1:8">
      <c r="A5" s="3"/>
      <c r="B5" s="3" t="s">
        <v>1986</v>
      </c>
      <c r="C5" s="3" t="s">
        <v>1987</v>
      </c>
      <c r="D5" s="3">
        <v>1</v>
      </c>
      <c r="E5" s="3">
        <v>1</v>
      </c>
      <c r="F5" s="6" t="s">
        <v>1988</v>
      </c>
      <c r="G5" s="3" t="s">
        <v>696</v>
      </c>
      <c r="H5" s="3" t="s">
        <v>1982</v>
      </c>
    </row>
    <row r="6" ht="79.5" customHeight="1" spans="1:8">
      <c r="A6" s="3"/>
      <c r="B6" s="3" t="s">
        <v>1989</v>
      </c>
      <c r="C6" s="3" t="s">
        <v>1990</v>
      </c>
      <c r="D6" s="3">
        <v>1</v>
      </c>
      <c r="E6" s="3">
        <v>1</v>
      </c>
      <c r="F6" s="3" t="s">
        <v>1991</v>
      </c>
      <c r="G6" s="3" t="s">
        <v>696</v>
      </c>
      <c r="H6" s="3" t="s">
        <v>1982</v>
      </c>
    </row>
    <row r="7" ht="79.5" customHeight="1" spans="1:8">
      <c r="A7" s="3"/>
      <c r="B7" s="3" t="s">
        <v>1992</v>
      </c>
      <c r="C7" s="3" t="s">
        <v>1993</v>
      </c>
      <c r="D7" s="3">
        <v>1.5</v>
      </c>
      <c r="E7" s="3">
        <v>2</v>
      </c>
      <c r="F7" s="3" t="s">
        <v>1994</v>
      </c>
      <c r="G7" s="3" t="s">
        <v>696</v>
      </c>
      <c r="H7" s="3" t="s">
        <v>1982</v>
      </c>
    </row>
    <row r="8" ht="79.5" customHeight="1" spans="1:8">
      <c r="A8" s="4" t="s">
        <v>431</v>
      </c>
      <c r="B8" s="5" t="s">
        <v>1913</v>
      </c>
      <c r="C8" s="4"/>
      <c r="D8" s="4">
        <v>7.5</v>
      </c>
      <c r="E8" s="4">
        <v>8</v>
      </c>
      <c r="F8" s="4"/>
      <c r="G8" s="4"/>
      <c r="H8" s="4"/>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21</vt:i4>
      </vt:variant>
    </vt:vector>
  </HeadingPairs>
  <TitlesOfParts>
    <vt:vector size="21" baseType="lpstr">
      <vt:lpstr>V14变更说明</vt:lpstr>
      <vt:lpstr>概览</vt:lpstr>
      <vt:lpstr>架构风险工时评估</vt:lpstr>
      <vt:lpstr>阶段0-C端基础建设与存量数据导入</vt:lpstr>
      <vt:lpstr>阶段1-业务员App-车险报价</vt:lpstr>
      <vt:lpstr>阶段1-PC管理后台-基础建设</vt:lpstr>
      <vt:lpstr>阶段1-PC管理后台-车险业务</vt:lpstr>
      <vt:lpstr>阶段2-业务员App-非车险展业</vt:lpstr>
      <vt:lpstr>阶段2-PC管理后台-佣金系统</vt:lpstr>
      <vt:lpstr>阶段2-PC管理后台-非车险业务</vt:lpstr>
      <vt:lpstr>阶段2-PC管理后台-客户CRM</vt:lpstr>
      <vt:lpstr>阶段3-C端商城（消费者前台）</vt:lpstr>
      <vt:lpstr>阶段3-PC管理后台-营销管理</vt:lpstr>
      <vt:lpstr>阶段3-业务员App-营销工具</vt:lpstr>
      <vt:lpstr>阶段4-AI智能中台</vt:lpstr>
      <vt:lpstr>阶段5-合规双录</vt:lpstr>
      <vt:lpstr>阶段6-财务中台</vt:lpstr>
      <vt:lpstr>阶段7-PC管理后台-寿险体系</vt:lpstr>
      <vt:lpstr>阶段8-业务员App-寿险展业</vt:lpstr>
      <vt:lpstr>阶段8-C端商城-寿险投保</vt:lpstr>
      <vt:lpstr>阶段6-财务中台-合格结算补充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流云</cp:lastModifiedBy>
  <cp:revision>0</cp:revision>
  <dcterms:created xsi:type="dcterms:W3CDTF">2026-02-20T17:10:00Z</dcterms:created>
  <dcterms:modified xsi:type="dcterms:W3CDTF">2026-03-01T18:24:30Z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20DF0DEF8219E3288D859E69AEA2765E_43</vt:lpwstr>
  </property>
  <property fmtid="{D5CDD505-2E9C-101B-9397-08002B2CF9AE}" pid="4" name="KSOProductBuildVer">
    <vt:lpwstr>2052-12.1.22522.22522</vt:lpwstr>
  </property>
</Properties>
</file>